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Inputs_Master" sheetId="3" state="visible" r:id="rId5"/>
    <sheet name="Delivery_Params" sheetId="4" state="visible" r:id="rId6"/>
    <sheet name="Risk_Register" sheetId="5" state="visible" r:id="rId7"/>
    <sheet name="Calc_PSC" sheetId="6" state="visible" r:id="rId8"/>
    <sheet name="Calc_P3" sheetId="7" state="visible" r:id="rId9"/>
    <sheet name="VfM_Comparison" sheetId="8" state="visible" r:id="rId10"/>
    <sheet name="Sensitivity" sheetId="9" state="visible" r:id="rId11"/>
    <sheet name="Assumption_Log" sheetId="10" state="visible" r:id="rId12"/>
    <sheet name="Quick_Star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<sst xmlns="http://schemas.openxmlformats.org/spreadsheetml/2006/main" count="689" uniqueCount="510">
  <si>
    <t xml:space="preserve">P3 VALUE FOR MONEY MODEL</t>
  </si>
  <si>
    <t xml:space="preserve">Multi-Scenario Analysis Framework</t>
  </si>
  <si>
    <t xml:space="preserve">Project Name:</t>
  </si>
  <si>
    <t xml:space="preserve">Project Type:</t>
  </si>
  <si>
    <t xml:space="preserve">Analysis Date:</t>
  </si>
  <si>
    <t xml:space="preserve">Model Version:</t>
  </si>
  <si>
    <t xml:space="preserve">2.0</t>
  </si>
  <si>
    <t xml:space="preserve">Prepared By:</t>
  </si>
  <si>
    <t xml:space="preserve">[Analyst Name]</t>
  </si>
  <si>
    <t xml:space="preserve">PSC Delivery Methods Analyzed:</t>
  </si>
  <si>
    <t xml:space="preserve">Design-Bid-Build (DBB), Design-Build (DB), Construction Management (CM)</t>
  </si>
  <si>
    <t xml:space="preserve">P3 Structure:</t>
  </si>
  <si>
    <t xml:space="preserve">Design-Build-Finance-Maintain (DBFM)</t>
  </si>
  <si>
    <t xml:space="preserve">CONFIDENTIAL - FOR TREASURY BOARD REVIEW</t>
  </si>
  <si>
    <t xml:space="preserve">EXECUTIVE DASHBOARD — MULTI-SCENARIO VfM ANALYSIS</t>
  </si>
  <si>
    <t xml:space="preserve">Project:</t>
  </si>
  <si>
    <t xml:space="preserve">Date:</t>
  </si>
  <si>
    <t xml:space="preserve">Active PSC Comparator:</t>
  </si>
  <si>
    <t xml:space="preserve">VALUE FOR MONEY SUMMARY</t>
  </si>
  <si>
    <t xml:space="preserve">VfM ($M):</t>
  </si>
  <si>
    <t xml:space="preserve">VfM (%):</t>
  </si>
  <si>
    <t xml:space="preserve">Status:</t>
  </si>
  <si>
    <t xml:space="preserve">VfM BY DELIVERY METHOD COMPARATOR</t>
  </si>
  <si>
    <t xml:space="preserve">PSC Method</t>
  </si>
  <si>
    <t xml:space="preserve">PSC NPV ($M)</t>
  </si>
  <si>
    <t xml:space="preserve">P3 NPV ($M)</t>
  </si>
  <si>
    <t xml:space="preserve">VfM ($M)</t>
  </si>
  <si>
    <t xml:space="preserve">VfM (%)</t>
  </si>
  <si>
    <t xml:space="preserve">Risk Transfer ($M)</t>
  </si>
  <si>
    <t xml:space="preserve">Status</t>
  </si>
  <si>
    <t xml:space="preserve">Design-Bid-Build (DBB)</t>
  </si>
  <si>
    <t xml:space="preserve">Design-Build (DB)</t>
  </si>
  <si>
    <t xml:space="preserve">Construction Management (CM)</t>
  </si>
  <si>
    <t xml:space="preserve">P3 STRUCTURE</t>
  </si>
  <si>
    <t xml:space="preserve">BANKABILITY CHECK</t>
  </si>
  <si>
    <t xml:space="preserve">Debt Amount ($M):</t>
  </si>
  <si>
    <t xml:space="preserve">Min DSCR:</t>
  </si>
  <si>
    <t xml:space="preserve">Equity Amount ($M):</t>
  </si>
  <si>
    <t xml:space="preserve">Avg DSCR:</t>
  </si>
  <si>
    <t xml:space="preserve">Debt/Equity Ratio:</t>
  </si>
  <si>
    <t xml:space="preserve">Equity IRR:</t>
  </si>
  <si>
    <t xml:space="preserve">MASTER INPUTS — ALL ASSUMPTIONS</t>
  </si>
  <si>
    <t xml:space="preserve">Blue cells = editable inputs | Green cells = cross-references | Gray cells = calculated</t>
  </si>
  <si>
    <t xml:space="preserve">A. PROJECT PARAMETERS</t>
  </si>
  <si>
    <t xml:space="preserve">Project Name</t>
  </si>
  <si>
    <t xml:space="preserve">New Capital Project</t>
  </si>
  <si>
    <t xml:space="preserve">Text</t>
  </si>
  <si>
    <t xml:space="preserve">Project Type</t>
  </si>
  <si>
    <t xml:space="preserve">Hospital</t>
  </si>
  <si>
    <t xml:space="preserve">Dropdown: School/Hospital/Gov Building</t>
  </si>
  <si>
    <t xml:space="preserve">Construction Period (years)</t>
  </si>
  <si>
    <t xml:space="preserve">years (1-5)</t>
  </si>
  <si>
    <t xml:space="preserve">Operating Period (years)</t>
  </si>
  <si>
    <t xml:space="preserve">years (20-40)</t>
  </si>
  <si>
    <t xml:space="preserve">Total Concession Period</t>
  </si>
  <si>
    <t xml:space="preserve">years (auto)</t>
  </si>
  <si>
    <t xml:space="preserve">Project Start Year</t>
  </si>
  <si>
    <t xml:space="preserve">B. DELIVERY METHOD SELECTOR</t>
  </si>
  <si>
    <t xml:space="preserve">Active PSC Delivery Method</t>
  </si>
  <si>
    <t xml:space="preserve">DB</t>
  </si>
  <si>
    <t xml:space="preserve">Dropdown: DBB / DB / CM</t>
  </si>
  <si>
    <t xml:space="preserve">Method Index (auto)</t>
  </si>
  <si>
    <t xml:space="preserve">1=DBB, 2=DB, 3=CM</t>
  </si>
  <si>
    <t xml:space="preserve">C. FINANCIAL PARAMETERS</t>
  </si>
  <si>
    <t xml:space="preserve">Discount Rate (Real)</t>
  </si>
  <si>
    <t xml:space="preserve">Alberta TB default 6%</t>
  </si>
  <si>
    <t xml:space="preserve">Nominal Discount Rate</t>
  </si>
  <si>
    <t xml:space="preserve">Auto: (1+real)×(1+CPI)-1</t>
  </si>
  <si>
    <t xml:space="preserve">General Inflation (CPI)</t>
  </si>
  <si>
    <t xml:space="preserve">Bank of Canada target</t>
  </si>
  <si>
    <t xml:space="preserve">Construction Inflation</t>
  </si>
  <si>
    <t xml:space="preserve">RSMeans + premium</t>
  </si>
  <si>
    <t xml:space="preserve">O&amp;M Inflation</t>
  </si>
  <si>
    <t xml:space="preserve">GOA Borrowing Rate</t>
  </si>
  <si>
    <t xml:space="preserve">AB bond yield benchmark</t>
  </si>
  <si>
    <t xml:space="preserve">Corporate Tax Rate</t>
  </si>
  <si>
    <t xml:space="preserve">AB + Federal combined</t>
  </si>
  <si>
    <t xml:space="preserve">Property Tax Rate</t>
  </si>
  <si>
    <t xml:space="preserve">Municipal mill rate</t>
  </si>
  <si>
    <t xml:space="preserve">D. BASE CONSTRUCTION COSTS (PSC Baseline)</t>
  </si>
  <si>
    <t xml:space="preserve">Design Costs</t>
  </si>
  <si>
    <t xml:space="preserve">$M</t>
  </si>
  <si>
    <t xml:space="preserve">Building Construction</t>
  </si>
  <si>
    <t xml:space="preserve">Equipment &amp; FF&amp;E</t>
  </si>
  <si>
    <t xml:space="preserve">Subtotal Base Construction</t>
  </si>
  <si>
    <t xml:space="preserve">$M (auto)</t>
  </si>
  <si>
    <t xml:space="preserve">Draw Schedule - Year 1</t>
  </si>
  <si>
    <t xml:space="preserve">% of capital</t>
  </si>
  <si>
    <t xml:space="preserve">Draw Schedule - Year 2</t>
  </si>
  <si>
    <t xml:space="preserve">Draw Schedule - Year 3</t>
  </si>
  <si>
    <t xml:space="preserve">Draw Total Check</t>
  </si>
  <si>
    <t xml:space="preserve">Must = 100%</t>
  </si>
  <si>
    <t xml:space="preserve">E. P3 FINANCING STRUCTURE</t>
  </si>
  <si>
    <t xml:space="preserve">P3 Capital Cost Efficiency</t>
  </si>
  <si>
    <t xml:space="preserve">-3% to -10% vs PSC</t>
  </si>
  <si>
    <t xml:space="preserve">P3 Total Capital Cost</t>
  </si>
  <si>
    <t xml:space="preserve">Debt Ratio</t>
  </si>
  <si>
    <t xml:space="preserve">of total capital</t>
  </si>
  <si>
    <t xml:space="preserve">Equity Ratio</t>
  </si>
  <si>
    <t xml:space="preserve">(auto)</t>
  </si>
  <si>
    <t xml:space="preserve">Debt Amount</t>
  </si>
  <si>
    <t xml:space="preserve">Equity Amount</t>
  </si>
  <si>
    <t xml:space="preserve">Debt Interest Rate</t>
  </si>
  <si>
    <t xml:space="preserve">Construction-era rate</t>
  </si>
  <si>
    <t xml:space="preserve">Debt Term (years)</t>
  </si>
  <si>
    <t xml:space="preserve">years</t>
  </si>
  <si>
    <t xml:space="preserve">Equity Target Return</t>
  </si>
  <si>
    <t xml:space="preserve">12-18% typical</t>
  </si>
  <si>
    <t xml:space="preserve">Financing Fees</t>
  </si>
  <si>
    <t xml:space="preserve">% of debt</t>
  </si>
  <si>
    <t xml:space="preserve">Annual Debt Service (PMT)</t>
  </si>
  <si>
    <t xml:space="preserve">$M/yr (auto)</t>
  </si>
  <si>
    <t xml:space="preserve">F. OPERATING COSTS (Annual, Year 1 Base)</t>
  </si>
  <si>
    <t xml:space="preserve">Facilities Management</t>
  </si>
  <si>
    <t xml:space="preserve">$M/yr</t>
  </si>
  <si>
    <t xml:space="preserve">Utilities</t>
  </si>
  <si>
    <t xml:space="preserve">Maintenance (Hard FM)</t>
  </si>
  <si>
    <t xml:space="preserve">Lifecycle Reserve</t>
  </si>
  <si>
    <t xml:space="preserve">Property Management</t>
  </si>
  <si>
    <t xml:space="preserve">Insurance (PSC - Self/ARIA)</t>
  </si>
  <si>
    <t xml:space="preserve">Total PSC O&amp;M (Baseline)</t>
  </si>
  <si>
    <t xml:space="preserve">Base Availability Payment</t>
  </si>
  <si>
    <t xml:space="preserve">$M/yr (P3 service payment)</t>
  </si>
  <si>
    <t xml:space="preserve">P3 O&amp;M Base Cost</t>
  </si>
  <si>
    <t xml:space="preserve">P3 O&amp;M Efficiency vs PSC</t>
  </si>
  <si>
    <t xml:space="preserve">-10% to -20%</t>
  </si>
  <si>
    <t xml:space="preserve">Performance Deductions</t>
  </si>
  <si>
    <t xml:space="preserve">Expected avg %</t>
  </si>
  <si>
    <t xml:space="preserve">Insurance (P3 - Commercial)</t>
  </si>
  <si>
    <t xml:space="preserve">SPV Management Fee</t>
  </si>
  <si>
    <t xml:space="preserve">GOA Monitoring/Oversight</t>
  </si>
  <si>
    <t xml:space="preserve">Transaction/Bid Costs</t>
  </si>
  <si>
    <t xml:space="preserve">$M (one-time)</t>
  </si>
  <si>
    <t xml:space="preserve">G. RESIDUAL VALUE PARAMETERS</t>
  </si>
  <si>
    <t xml:space="preserve">Asset Useful Life (years)</t>
  </si>
  <si>
    <t xml:space="preserve">Project type dependent</t>
  </si>
  <si>
    <t xml:space="preserve">Land Value</t>
  </si>
  <si>
    <t xml:space="preserve">Handback Reserve (% of capital)</t>
  </si>
  <si>
    <t xml:space="preserve">P3 maintenance fund</t>
  </si>
  <si>
    <t xml:space="preserve">Handback Condition Discount</t>
  </si>
  <si>
    <t xml:space="preserve">Wear factor</t>
  </si>
  <si>
    <t xml:space="preserve">H. REFINANCING ASSUMPTIONS</t>
  </si>
  <si>
    <t xml:space="preserve">Refinancing Year</t>
  </si>
  <si>
    <t xml:space="preserve">Start of operations</t>
  </si>
  <si>
    <t xml:space="preserve">Post-Refi Interest Rate</t>
  </si>
  <si>
    <t xml:space="preserve">Spread reduction</t>
  </si>
  <si>
    <t xml:space="preserve">GOA Gainshare %</t>
  </si>
  <si>
    <t xml:space="preserve">50/50 standard</t>
  </si>
  <si>
    <t xml:space="preserve">Refi Transaction Cost %</t>
  </si>
  <si>
    <t xml:space="preserve">DELIVERY METHOD PARAMETERS</t>
  </si>
  <si>
    <t xml:space="preserve">Method-specific factors for DB, DBB, and CM delivery</t>
  </si>
  <si>
    <t xml:space="preserve">Parameter</t>
  </si>
  <si>
    <t xml:space="preserve">DBB</t>
  </si>
  <si>
    <t xml:space="preserve">CM</t>
  </si>
  <si>
    <t xml:space="preserve">Active Value</t>
  </si>
  <si>
    <t xml:space="preserve">Source/Notes</t>
  </si>
  <si>
    <t xml:space="preserve">CONSTRUCTION COST FACTORS</t>
  </si>
  <si>
    <t xml:space="preserve">Capital Cost Factor</t>
  </si>
  <si>
    <t xml:space="preserve">1.00 = baseline; &lt;1 = efficiency</t>
  </si>
  <si>
    <t xml:space="preserve">Contingency Rate</t>
  </si>
  <si>
    <t xml:space="preserve">Historical benchmarks</t>
  </si>
  <si>
    <t xml:space="preserve">Professional Fees Rate</t>
  </si>
  <si>
    <t xml:space="preserve">Separate A/E vs integrated</t>
  </si>
  <si>
    <t xml:space="preserve">CM Fee Rate</t>
  </si>
  <si>
    <t xml:space="preserve">CM-at-risk fee</t>
  </si>
  <si>
    <t xml:space="preserve">Schedule Factor (vs DBB)</t>
  </si>
  <si>
    <t xml:space="preserve">Relative duration</t>
  </si>
  <si>
    <t xml:space="preserve">RISK ALLOCATION (% Retained by GOA)</t>
  </si>
  <si>
    <t xml:space="preserve">Design Deficiency Risk</t>
  </si>
  <si>
    <t xml:space="preserve">Owner vs contractor design</t>
  </si>
  <si>
    <t xml:space="preserve">Construction Overrun Risk</t>
  </si>
  <si>
    <t xml:space="preserve">Fixed price vs GMP</t>
  </si>
  <si>
    <t xml:space="preserve">Schedule Delay Risk</t>
  </si>
  <si>
    <t xml:space="preserve">Sequential vs parallel</t>
  </si>
  <si>
    <t xml:space="preserve">Integration Risk</t>
  </si>
  <si>
    <t xml:space="preserve">Coordination burden</t>
  </si>
  <si>
    <t xml:space="preserve">Lifecycle Risk</t>
  </si>
  <si>
    <t xml:space="preserve">All conventional = owner</t>
  </si>
  <si>
    <t xml:space="preserve">Operating Cost Risk</t>
  </si>
  <si>
    <t xml:space="preserve">OWNER OVERHEAD COSTS</t>
  </si>
  <si>
    <t xml:space="preserve">Project Management FTEs</t>
  </si>
  <si>
    <t xml:space="preserve">GOA staff requirement</t>
  </si>
  <si>
    <t xml:space="preserve">PM Cost per FTE ($M/yr)</t>
  </si>
  <si>
    <t xml:space="preserve">Loaded cost</t>
  </si>
  <si>
    <t xml:space="preserve">Legal/Procurement ($M)</t>
  </si>
  <si>
    <t xml:space="preserve">One-time costs</t>
  </si>
  <si>
    <t xml:space="preserve">Contract Admin Complexity</t>
  </si>
  <si>
    <t xml:space="preserve">Relative index</t>
  </si>
  <si>
    <t xml:space="preserve">RISK REGISTER — FULL QUANTIFICATION WITH CONTRACT MAPPING</t>
  </si>
  <si>
    <t xml:space="preserve">ID</t>
  </si>
  <si>
    <t xml:space="preserve">Category</t>
  </si>
  <si>
    <t xml:space="preserve">Risk Description</t>
  </si>
  <si>
    <t xml:space="preserve">PA Clause</t>
  </si>
  <si>
    <t xml:space="preserve">Probability</t>
  </si>
  <si>
    <t xml:space="preserve">P10 ($M)</t>
  </si>
  <si>
    <t xml:space="preserve">P50 ($M)</t>
  </si>
  <si>
    <t xml:space="preserve">P90 ($M)</t>
  </si>
  <si>
    <t xml:space="preserve">PERT Mean</t>
  </si>
  <si>
    <t xml:space="preserve">Std Dev</t>
  </si>
  <si>
    <t xml:space="preserve">PSC Retention</t>
  </si>
  <si>
    <t xml:space="preserve">P3 GOA Retention</t>
  </si>
  <si>
    <t xml:space="preserve">EV ($M)</t>
  </si>
  <si>
    <t xml:space="preserve">R01</t>
  </si>
  <si>
    <t xml:space="preserve">Construction</t>
  </si>
  <si>
    <t xml:space="preserve">Cost overrun risk</t>
  </si>
  <si>
    <t xml:space="preserve">Sch 14 §3.2(a)</t>
  </si>
  <si>
    <t xml:space="preserve">PSC</t>
  </si>
  <si>
    <t xml:space="preserve">R02</t>
  </si>
  <si>
    <t xml:space="preserve">Schedule delay risk</t>
  </si>
  <si>
    <t xml:space="preserve">Sch 14 §3.2(b)</t>
  </si>
  <si>
    <t xml:space="preserve">R03</t>
  </si>
  <si>
    <t xml:space="preserve">Operating</t>
  </si>
  <si>
    <t xml:space="preserve">O&amp;M cost variance</t>
  </si>
  <si>
    <t xml:space="preserve">Sch 16 §4.1</t>
  </si>
  <si>
    <t xml:space="preserve">R04</t>
  </si>
  <si>
    <t xml:space="preserve">Lifecycle underestimation</t>
  </si>
  <si>
    <t xml:space="preserve">Sch 16 §4.3</t>
  </si>
  <si>
    <t xml:space="preserve">R05</t>
  </si>
  <si>
    <t xml:space="preserve">Demand</t>
  </si>
  <si>
    <t xml:space="preserve">Demand/usage risk</t>
  </si>
  <si>
    <t xml:space="preserve">Sch 11 §2.4</t>
  </si>
  <si>
    <t xml:space="preserve">Shared</t>
  </si>
  <si>
    <t xml:space="preserve">R06</t>
  </si>
  <si>
    <t xml:space="preserve">Regulatory</t>
  </si>
  <si>
    <t xml:space="preserve">Regulatory/compliance change</t>
  </si>
  <si>
    <t xml:space="preserve">Sch 17 §1.2</t>
  </si>
  <si>
    <t xml:space="preserve">R07</t>
  </si>
  <si>
    <t xml:space="preserve">Force Majeure</t>
  </si>
  <si>
    <t xml:space="preserve">Force majeure events</t>
  </si>
  <si>
    <t xml:space="preserve">Sch 18</t>
  </si>
  <si>
    <t xml:space="preserve">R08</t>
  </si>
  <si>
    <t xml:space="preserve">Design</t>
  </si>
  <si>
    <t xml:space="preserve">Design deficiency risk</t>
  </si>
  <si>
    <t xml:space="preserve">Sch 4 §5.1</t>
  </si>
  <si>
    <t xml:space="preserve">P3</t>
  </si>
  <si>
    <t xml:space="preserve">R09</t>
  </si>
  <si>
    <t xml:space="preserve">Commissioning</t>
  </si>
  <si>
    <t xml:space="preserve">Commissioning/handover risk</t>
  </si>
  <si>
    <t xml:space="preserve">Sch 12 §3.1</t>
  </si>
  <si>
    <t xml:space="preserve">R10</t>
  </si>
  <si>
    <t xml:space="preserve">Technology</t>
  </si>
  <si>
    <t xml:space="preserve">Technology obsolescence</t>
  </si>
  <si>
    <t xml:space="preserve">Sch 16 §4.5</t>
  </si>
  <si>
    <t xml:space="preserve">RISK SUMMARY</t>
  </si>
  <si>
    <t xml:space="preserve">Total Risk EV</t>
  </si>
  <si>
    <t xml:space="preserve">PSC Retained Risk</t>
  </si>
  <si>
    <t xml:space="preserve">P3 GOA Retained Risk</t>
  </si>
  <si>
    <t xml:space="preserve">Risk Transfer Value</t>
  </si>
  <si>
    <t xml:space="preserve">PSC CALCULATION ENGINE — PARAMETERIZED BY DELIVERY METHOD</t>
  </si>
  <si>
    <t xml:space="preserve">Active Method:</t>
  </si>
  <si>
    <t xml:space="preserve">(Change in Inputs_Master to recalculate for DBB/DB/CM)</t>
  </si>
  <si>
    <t xml:space="preserve">Year</t>
  </si>
  <si>
    <t xml:space="preserve">Phase</t>
  </si>
  <si>
    <t xml:space="preserve">Active</t>
  </si>
  <si>
    <t xml:space="preserve">PSC CONSTRUCTION COSTS</t>
  </si>
  <si>
    <t xml:space="preserve">  Base Capital (Method-Adjusted)</t>
  </si>
  <si>
    <t xml:space="preserve">0</t>
  </si>
  <si>
    <t xml:space="preserve">  Construction Escalation Factor</t>
  </si>
  <si>
    <t xml:space="preserve">  Escalated Construction</t>
  </si>
  <si>
    <t xml:space="preserve">  Contingency</t>
  </si>
  <si>
    <t xml:space="preserve">  Professional Fees</t>
  </si>
  <si>
    <t xml:space="preserve">  CM Fee (if applicable)</t>
  </si>
  <si>
    <t xml:space="preserve">TOTAL PSC CONSTRUCTION</t>
  </si>
  <si>
    <t xml:space="preserve">PSC OPERATING COSTS</t>
  </si>
  <si>
    <t xml:space="preserve">  Facilities Management</t>
  </si>
  <si>
    <t xml:space="preserve">  Utilities</t>
  </si>
  <si>
    <t xml:space="preserve">  Maintenance</t>
  </si>
  <si>
    <t xml:space="preserve">  Property Management</t>
  </si>
  <si>
    <t xml:space="preserve">  Insurance</t>
  </si>
  <si>
    <t xml:space="preserve">  Lifecycle Reserve</t>
  </si>
  <si>
    <t xml:space="preserve">  Owner PM Costs</t>
  </si>
  <si>
    <t xml:space="preserve">TOTAL PSC OPERATING</t>
  </si>
  <si>
    <t xml:space="preserve">PSC RETAINED RISKS</t>
  </si>
  <si>
    <t xml:space="preserve">  Construction Risks</t>
  </si>
  <si>
    <t xml:space="preserve">  Operating Risks</t>
  </si>
  <si>
    <t xml:space="preserve">  Other Risks (Shared)</t>
  </si>
  <si>
    <t xml:space="preserve">TOTAL PSC RISKS</t>
  </si>
  <si>
    <t xml:space="preserve">COMPETITIVE NEUTRALITY</t>
  </si>
  <si>
    <t xml:space="preserve">  Corporate Tax (P3 would pay)</t>
  </si>
  <si>
    <t xml:space="preserve">  Property Tax</t>
  </si>
  <si>
    <t xml:space="preserve">  Gov Borrowing Advantage</t>
  </si>
  <si>
    <t xml:space="preserve">TOTAL COMP NEUTRALITY</t>
  </si>
  <si>
    <t xml:space="preserve">RESIDUAL VALUE</t>
  </si>
  <si>
    <t xml:space="preserve">  Asset Residual Credit</t>
  </si>
  <si>
    <t xml:space="preserve">TOTAL PSC CASH FLOWS</t>
  </si>
  <si>
    <t xml:space="preserve">Annual Cash Flow</t>
  </si>
  <si>
    <t xml:space="preserve">Discount Factor</t>
  </si>
  <si>
    <t xml:space="preserve">Present Value</t>
  </si>
  <si>
    <t xml:space="preserve">PSC NET PRESENT VALUE</t>
  </si>
  <si>
    <t xml:space="preserve">COMPONENT NPVs (for VfM)</t>
  </si>
  <si>
    <t xml:space="preserve">Capital Cost PV</t>
  </si>
  <si>
    <t xml:space="preserve">Operating Cost PV</t>
  </si>
  <si>
    <t xml:space="preserve">Lifecycle Cost PV</t>
  </si>
  <si>
    <t xml:space="preserve">Risk Cost PV</t>
  </si>
  <si>
    <t xml:space="preserve">Comp Neutrality PV</t>
  </si>
  <si>
    <t xml:space="preserve">Residual Value PV</t>
  </si>
  <si>
    <t xml:space="preserve">P3 CALCULATION ENGINE — DBFM STRUCTURE</t>
  </si>
  <si>
    <t xml:space="preserve">P3 CONSTRUCTION COSTS</t>
  </si>
  <si>
    <t xml:space="preserve">  P3 Adjusted Capital</t>
  </si>
  <si>
    <t xml:space="preserve">  Construction Escalation</t>
  </si>
  <si>
    <t xml:space="preserve">TOTAL P3 CONSTRUCTION</t>
  </si>
  <si>
    <t xml:space="preserve">DEBT SERVICE SCHEDULE</t>
  </si>
  <si>
    <t xml:space="preserve">  Debt Drawn</t>
  </si>
  <si>
    <t xml:space="preserve">  Opening Balance</t>
  </si>
  <si>
    <t xml:space="preserve">  Interest Expense</t>
  </si>
  <si>
    <t xml:space="preserve">  Principal Repayment</t>
  </si>
  <si>
    <t xml:space="preserve">  Annual Debt Service</t>
  </si>
  <si>
    <t xml:space="preserve">  Closing Balance</t>
  </si>
  <si>
    <t xml:space="preserve">EQUITY CASH FLOWS</t>
  </si>
  <si>
    <t xml:space="preserve">  Equity Injection</t>
  </si>
  <si>
    <t xml:space="preserve">P3 OPERATING COSTS</t>
  </si>
  <si>
    <t xml:space="preserve">  O&amp;M Costs</t>
  </si>
  <si>
    <t xml:space="preserve">  Lifecycle Costs</t>
  </si>
  <si>
    <t xml:space="preserve">TOTAL P3 OPERATING</t>
  </si>
  <si>
    <t xml:space="preserve">SERVICE PAYMENT TO SPV</t>
  </si>
  <si>
    <t xml:space="preserve">  Base Service Payment</t>
  </si>
  <si>
    <t xml:space="preserve">  Performance Deductions</t>
  </si>
  <si>
    <t xml:space="preserve">NET SERVICE PAYMENT</t>
  </si>
  <si>
    <t xml:space="preserve">SPV OVERHEAD &amp; GOA COSTS</t>
  </si>
  <si>
    <t xml:space="preserve">  SPV Management</t>
  </si>
  <si>
    <t xml:space="preserve">  GOA Monitoring</t>
  </si>
  <si>
    <t xml:space="preserve">  Transaction Costs</t>
  </si>
  <si>
    <t xml:space="preserve">P3 RETAINED RISKS (GOA)</t>
  </si>
  <si>
    <t xml:space="preserve">  Shared Risks (GOA portion)</t>
  </si>
  <si>
    <t xml:space="preserve">  P3 Residual Credit</t>
  </si>
  <si>
    <t xml:space="preserve">TOTAL P3 CASH FLOWS TO GOA</t>
  </si>
  <si>
    <t xml:space="preserve">P3 NET PRESENT VALUE</t>
  </si>
  <si>
    <t xml:space="preserve">BANKABILITY METRICS</t>
  </si>
  <si>
    <t xml:space="preserve">  Net Operating Income</t>
  </si>
  <si>
    <t xml:space="preserve">  DSCR</t>
  </si>
  <si>
    <t xml:space="preserve">EQUITY CASH FLOWS (for IRR)</t>
  </si>
  <si>
    <t xml:space="preserve">  Net Equity CF</t>
  </si>
  <si>
    <t xml:space="preserve">Equity IRR (%)</t>
  </si>
  <si>
    <t xml:space="preserve">Min DSCR</t>
  </si>
  <si>
    <t xml:space="preserve">Avg DSCR</t>
  </si>
  <si>
    <t xml:space="preserve">BANKABILITY STATUS</t>
  </si>
  <si>
    <t xml:space="preserve">  Min DSCR (≥1.2)</t>
  </si>
  <si>
    <t xml:space="preserve">  Avg DSCR (≥1.5)</t>
  </si>
  <si>
    <t xml:space="preserve">  Equity IRR (≥Target)</t>
  </si>
  <si>
    <t xml:space="preserve">OVERALL BANKABILITY</t>
  </si>
  <si>
    <t xml:space="preserve">VALUE FOR MONEY — MULTI-SCENARIO COMPARISON</t>
  </si>
  <si>
    <t xml:space="preserve">Comparing P3 against DBB, DB, and CM delivery methods</t>
  </si>
  <si>
    <t xml:space="preserve">(VfM metrics on Dashboard use this comparator)</t>
  </si>
  <si>
    <t xml:space="preserve">Cost Component</t>
  </si>
  <si>
    <t xml:space="preserve">PSC: DBB</t>
  </si>
  <si>
    <t xml:space="preserve">PSC: DB</t>
  </si>
  <si>
    <t xml:space="preserve">PSC: CM</t>
  </si>
  <si>
    <t xml:space="preserve">P3 (DBFM)</t>
  </si>
  <si>
    <t xml:space="preserve">Active VfM ($M)</t>
  </si>
  <si>
    <t xml:space="preserve">Active VfM (%)</t>
  </si>
  <si>
    <t xml:space="preserve">Base Capital Cost (PV)</t>
  </si>
  <si>
    <t xml:space="preserve">  + Contingency (PV)</t>
  </si>
  <si>
    <t xml:space="preserve">—</t>
  </si>
  <si>
    <t xml:space="preserve">  + Professional Fees (PV)</t>
  </si>
  <si>
    <t xml:space="preserve">  + CM Fee (PV)</t>
  </si>
  <si>
    <t xml:space="preserve">Total Capital Cost (PV)</t>
  </si>
  <si>
    <t xml:space="preserve">Operating Costs (PV)</t>
  </si>
  <si>
    <t xml:space="preserve">Lifecycle Costs (PV)</t>
  </si>
  <si>
    <t xml:space="preserve">Risk Costs (PV)</t>
  </si>
  <si>
    <t xml:space="preserve">Total Risk Costs (PV)</t>
  </si>
  <si>
    <t xml:space="preserve">Competitive Neutrality (PV)</t>
  </si>
  <si>
    <t xml:space="preserve">Residual Value Credit (PV)</t>
  </si>
  <si>
    <t xml:space="preserve">TOTAL NET PRESENT VALUE</t>
  </si>
  <si>
    <t xml:space="preserve">VALUE FOR MONEY ANALYSIS</t>
  </si>
  <si>
    <t xml:space="preserve">VfM ($M) = PSC - P3</t>
  </si>
  <si>
    <t xml:space="preserve">VfM Status</t>
  </si>
  <si>
    <t xml:space="preserve">RISK TRANSFER ANALYSIS</t>
  </si>
  <si>
    <t xml:space="preserve">Risk Transfer Value ($M)</t>
  </si>
  <si>
    <t xml:space="preserve">Risk Transfer as % of VfM</t>
  </si>
  <si>
    <t xml:space="preserve">INTERPRETATION</t>
  </si>
  <si>
    <t xml:space="preserve">SENSITIVITY ANALYSIS</t>
  </si>
  <si>
    <t xml:space="preserve">ONE-WAY SENSITIVITY: DISCOUNT RATE</t>
  </si>
  <si>
    <t xml:space="preserve">Discount Rate</t>
  </si>
  <si>
    <t xml:space="preserve">ONE-WAY SENSITIVITY: CAPITAL COST VARIANCE</t>
  </si>
  <si>
    <t xml:space="preserve">Cost Variance</t>
  </si>
  <si>
    <t xml:space="preserve">BREAK-EVEN / SWITCHING VALUE ANALYSIS</t>
  </si>
  <si>
    <t xml:space="preserve">At what value does VfM become zero?</t>
  </si>
  <si>
    <t xml:space="preserve">Variable</t>
  </si>
  <si>
    <t xml:space="preserve">Base Value</t>
  </si>
  <si>
    <t xml:space="preserve">Break-Even Value</t>
  </si>
  <si>
    <t xml:space="preserve">Headroom</t>
  </si>
  <si>
    <t xml:space="preserve">~12%</t>
  </si>
  <si>
    <t xml:space="preserve">~6 pp</t>
  </si>
  <si>
    <t xml:space="preserve">✓ Strong headroom</t>
  </si>
  <si>
    <t xml:space="preserve">P3 Capital Efficiency</t>
  </si>
  <si>
    <t xml:space="preserve">~+15%</t>
  </si>
  <si>
    <t xml:space="preserve">~22 pp</t>
  </si>
  <si>
    <t xml:space="preserve">$0</t>
  </si>
  <si>
    <t xml:space="preserve">100%</t>
  </si>
  <si>
    <t xml:space="preserve">✓ Even without risk transfer, efficiency gains deliver VfM</t>
  </si>
  <si>
    <t xml:space="preserve">TORNADO DIAGRAM DRIVERS (Ranked by VfM Impact)</t>
  </si>
  <si>
    <t xml:space="preserve">VfM at -20%</t>
  </si>
  <si>
    <t xml:space="preserve">VfM at +20%</t>
  </si>
  <si>
    <t xml:space="preserve">Range</t>
  </si>
  <si>
    <t xml:space="preserve">Rank</t>
  </si>
  <si>
    <t xml:space="preserve">PSC Capital Cost</t>
  </si>
  <si>
    <t xml:space="preserve">Operating Efficiency</t>
  </si>
  <si>
    <t xml:space="preserve">Risk Allocation</t>
  </si>
  <si>
    <t xml:space="preserve">Service Payment</t>
  </si>
  <si>
    <t xml:space="preserve">ASSUMPTION LOG — AUDIT TRAIL</t>
  </si>
  <si>
    <t xml:space="preserve">Document all assumptions with sources for Treasury Board review</t>
  </si>
  <si>
    <t xml:space="preserve">Assumption</t>
  </si>
  <si>
    <t xml:space="preserve">Value</t>
  </si>
  <si>
    <t xml:space="preserve">Source</t>
  </si>
  <si>
    <t xml:space="preserve">Date</t>
  </si>
  <si>
    <t xml:space="preserve">Preparer</t>
  </si>
  <si>
    <t xml:space="preserve">A01</t>
  </si>
  <si>
    <t xml:space="preserve">Financial</t>
  </si>
  <si>
    <t xml:space="preserve">6.0%</t>
  </si>
  <si>
    <t xml:space="preserve">AB Treasury Board Directive 2019-04</t>
  </si>
  <si>
    <t xml:space="preserve">2024-03-15</t>
  </si>
  <si>
    <t xml:space="preserve">[Analyst]</t>
  </si>
  <si>
    <t xml:space="preserve">A02</t>
  </si>
  <si>
    <t xml:space="preserve">CPI Inflation</t>
  </si>
  <si>
    <t xml:space="preserve">2.0%</t>
  </si>
  <si>
    <t xml:space="preserve">Bank of Canada Inflation Target</t>
  </si>
  <si>
    <t xml:space="preserve">A03</t>
  </si>
  <si>
    <t xml:space="preserve">3.5%</t>
  </si>
  <si>
    <t xml:space="preserve">RSMeans 5-yr avg + 1% premium</t>
  </si>
  <si>
    <t xml:space="preserve">A04</t>
  </si>
  <si>
    <t xml:space="preserve">AB Capital Finance Authority</t>
  </si>
  <si>
    <t xml:space="preserve">A05</t>
  </si>
  <si>
    <t xml:space="preserve">Tax</t>
  </si>
  <si>
    <t xml:space="preserve">23%</t>
  </si>
  <si>
    <t xml:space="preserve">AB + Federal combined 2024</t>
  </si>
  <si>
    <t xml:space="preserve">A06</t>
  </si>
  <si>
    <t xml:space="preserve">1.0%</t>
  </si>
  <si>
    <t xml:space="preserve">Municipal mill rate estimate</t>
  </si>
  <si>
    <t xml:space="preserve">A07</t>
  </si>
  <si>
    <t xml:space="preserve">Financing</t>
  </si>
  <si>
    <t xml:space="preserve">5.5%</t>
  </si>
  <si>
    <t xml:space="preserve">Market survey + 50 bps constr premium</t>
  </si>
  <si>
    <t xml:space="preserve">A08</t>
  </si>
  <si>
    <t xml:space="preserve">14%</t>
  </si>
  <si>
    <t xml:space="preserve">Market comparables (Plenary, PCL, Graham)</t>
  </si>
  <si>
    <t xml:space="preserve">A09</t>
  </si>
  <si>
    <t xml:space="preserve">Debt/Equity Ratio</t>
  </si>
  <si>
    <t xml:space="preserve">85/15</t>
  </si>
  <si>
    <t xml:space="preserve">P3 Canada market standard</t>
  </si>
  <si>
    <t xml:space="preserve">A10</t>
  </si>
  <si>
    <t xml:space="preserve">Delivery</t>
  </si>
  <si>
    <t xml:space="preserve">DBB Contingency</t>
  </si>
  <si>
    <t xml:space="preserve">18%</t>
  </si>
  <si>
    <t xml:space="preserve">AB Infra historical avg (2015-2023)</t>
  </si>
  <si>
    <t xml:space="preserve">A11</t>
  </si>
  <si>
    <t xml:space="preserve">DB Contingency</t>
  </si>
  <si>
    <t xml:space="preserve">10%</t>
  </si>
  <si>
    <t xml:space="preserve">AB Infra DB projects avg</t>
  </si>
  <si>
    <t xml:space="preserve">A12</t>
  </si>
  <si>
    <t xml:space="preserve">CM Contingency</t>
  </si>
  <si>
    <t xml:space="preserve">AB Infra CM projects avg</t>
  </si>
  <si>
    <t xml:space="preserve">A13</t>
  </si>
  <si>
    <t xml:space="preserve">-7%</t>
  </si>
  <si>
    <t xml:space="preserve">P3 Canada benchmarking study 2022</t>
  </si>
  <si>
    <t xml:space="preserve">A14</t>
  </si>
  <si>
    <t xml:space="preserve">Risk</t>
  </si>
  <si>
    <t xml:space="preserve">Cost Overrun Probability</t>
  </si>
  <si>
    <t xml:space="preserve">70%</t>
  </si>
  <si>
    <t xml:space="preserve">Flyvbjerg reference class forecasting</t>
  </si>
  <si>
    <t xml:space="preserve">A15</t>
  </si>
  <si>
    <t xml:space="preserve">Cost Overrun P50</t>
  </si>
  <si>
    <t xml:space="preserve">$25M</t>
  </si>
  <si>
    <t xml:space="preserve">AB historical data (5-yr avg)</t>
  </si>
  <si>
    <t xml:space="preserve">A16</t>
  </si>
  <si>
    <t xml:space="preserve">Residual</t>
  </si>
  <si>
    <t xml:space="preserve">Asset Useful Life</t>
  </si>
  <si>
    <t xml:space="preserve">40 yrs</t>
  </si>
  <si>
    <t xml:space="preserve">Hospital asset class standard</t>
  </si>
  <si>
    <t xml:space="preserve">A17</t>
  </si>
  <si>
    <t xml:space="preserve">Site appraisal (dated 2024-01)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</si>
  <si>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</si>
  <si>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</si>
  <si>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</si>
  <si>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</si>
  <si>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</si>
  <si>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</si>
  <si>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</si>
  <si>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</si>
  <si>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</si>
  <si>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</si>
  <si>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QUICK START GUIDE</t>
  </si>
  <si>
    <t xml:space="preserve">HOW TO USE THIS MODEL</t>
  </si>
  <si>
    <t xml:space="preserve">1. START: Go to Inputs_Master sheet</t>
  </si>
  <si>
    <t xml:space="preserve">   • Enter project parameters (Section A)</t>
  </si>
  <si>
    <t xml:space="preserve">   • Select delivery method comparator (Section B) — DBB, DB, or CM</t>
  </si>
  <si>
    <t xml:space="preserve">   • Review/update financial assumptions (Section C-H)</t>
  </si>
  <si>
    <t xml:space="preserve">2. REVIEW: Check Delivery_Params sheet</t>
  </si>
  <si>
    <t xml:space="preserve">   • Verify method-specific factors match your project</t>
  </si>
  <si>
    <t xml:space="preserve">   • Adjust contingency rates, risk allocations as needed</t>
  </si>
  <si>
    <t xml:space="preserve">3. RISKS: Update Risk_Register sheet</t>
  </si>
  <si>
    <t xml:space="preserve">   • Enter project-specific risk probabilities and impacts</t>
  </si>
  <si>
    <t xml:space="preserve">   • Map PA clause references for audit trail</t>
  </si>
  <si>
    <t xml:space="preserve">4. RESULTS: View Dashboard for summary</t>
  </si>
  <si>
    <t xml:space="preserve">   • VfM against all three delivery methods</t>
  </si>
  <si>
    <t xml:space="preserve">   • Bankability status (DSCR, IRR)</t>
  </si>
  <si>
    <t xml:space="preserve">   • Key interpretation</t>
  </si>
  <si>
    <t xml:space="preserve">5. ANALYSIS: Review VfM_Comparison for detailed breakdown</t>
  </si>
  <si>
    <t xml:space="preserve">   • Component-by-component comparison</t>
  </si>
  <si>
    <t xml:space="preserve">   • Risk transfer analysis</t>
  </si>
  <si>
    <t xml:space="preserve">6. SENSITIVITY: Check Sensitivity sheet</t>
  </si>
  <si>
    <t xml:space="preserve">   • Discount rate sensitivity</t>
  </si>
  <si>
    <t xml:space="preserve">   • Break-even analysis</t>
  </si>
  <si>
    <t xml:space="preserve">   • Tornado drivers</t>
  </si>
  <si>
    <t xml:space="preserve">7. DOCUMENT: Complete Assumption_Log</t>
  </si>
  <si>
    <t xml:space="preserve">   • Source every input for Treasury Board</t>
  </si>
  <si>
    <t xml:space="preserve">COLOR LEGEND:</t>
  </si>
  <si>
    <t xml:space="preserve">• Blue text on yellow = Editable input (CHANGE these)</t>
  </si>
  <si>
    <t xml:space="preserve">• Green text = Cross-reference (DO NOT change)</t>
  </si>
  <si>
    <t xml:space="preserve">• Gray background = Calculated (read-only)</t>
  </si>
  <si>
    <t xml:space="preserve">• Green background = Key output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</si>
</sst>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"/>
    <numFmt numFmtId="166" formatCode="General"/>
    <numFmt numFmtId="167" formatCode="[$$-409]#,##0.00;[RED]\-[$$-409]#,##0.00"/>
    <numFmt numFmtId="168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F4E79"/>
      <name val="Cambria"/>
      <family val="0"/>
      <charset val="1"/>
    </font>
    <font>
      <sz val="18"/>
      <color rgb="FF666666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2"/>
      <color rgb="FF0000FF"/>
      <name val="Cambria"/>
      <family val="0"/>
      <charset val="1"/>
    </font>
    <font>
      <i val="true"/>
      <sz val="1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D6DCE5"/>
        <bgColor rgb="FFC6EFCE"/>
      </patternFill>
    </fill>
    <fill>
      <patternFill patternType="solid">
        <fgColor rgb="FFC6EFCE"/>
        <bgColor rgb="FFD6DCE5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50"/>
  </cols>
  <sheetData>
    <row r="3" customFormat="false" ht="15" hidden="false" customHeight="true" outlineLevel="0" collapsed="false">
      <c r="B3" s="2" t="s">
        <v>0</v>
      </c>
      <c r="C3" s="2"/>
      <c r="D3" s="2"/>
      <c r="E3" s="2"/>
      <c r="F3" s="2"/>
      <c r="G3" s="2"/>
    </row>
    <row r="4" customFormat="false" ht="15" hidden="false" customHeight="true" outlineLevel="0" collapsed="false">
      <c r="B4" s="2"/>
      <c r="C4" s="2"/>
      <c r="D4" s="2"/>
      <c r="E4" s="2"/>
      <c r="F4" s="2"/>
      <c r="G4" s="2"/>
    </row>
    <row r="5" customFormat="false" ht="15" hidden="false" customHeight="true" outlineLevel="0" collapsed="false">
      <c r="B5" s="2"/>
      <c r="C5" s="2"/>
      <c r="D5" s="2"/>
      <c r="E5" s="2"/>
      <c r="F5" s="2"/>
      <c r="G5" s="2"/>
    </row>
    <row r="7" customFormat="false" ht="15" hidden="false" customHeight="true" outlineLevel="0" collapsed="false">
      <c r="B7" s="3" t="s">
        <v>1</v>
      </c>
      <c r="C7" s="3"/>
      <c r="D7" s="3"/>
      <c r="E7" s="3"/>
      <c r="F7" s="3"/>
      <c r="G7" s="3"/>
    </row>
    <row r="8" customFormat="false" ht="15" hidden="false" customHeight="true" outlineLevel="0" collapsed="false">
      <c r="B8" s="3"/>
      <c r="C8" s="3"/>
      <c r="D8" s="3"/>
      <c r="E8" s="3"/>
      <c r="F8" s="3"/>
      <c r="G8" s="3"/>
    </row>
    <row r="11" customFormat="false" ht="15" hidden="false" customHeight="true" outlineLevel="0" collapsed="false">
      <c r="B11" s="1" t="s">
        <v>2</v>
      </c>
      <c r="C11" s="4" t="str">
        <f aca="false">Inputs_Master!C6</f>
        <v>New Capital Project</v>
      </c>
    </row>
    <row r="12" customFormat="false" ht="15" hidden="false" customHeight="true" outlineLevel="0" collapsed="false">
      <c r="B12" s="1" t="s">
        <v>3</v>
      </c>
      <c r="C12" s="1" t="str">
        <f aca="false">Inputs_Master!C7</f>
        <v>Hospital</v>
      </c>
    </row>
    <row r="13" customFormat="false" ht="15" hidden="false" customHeight="true" outlineLevel="0" collapsed="false">
      <c r="B13" s="1" t="s">
        <v>4</v>
      </c>
      <c r="C13" s="5" t="n">
        <f aca="true">TODAY()</f>
        <v>46069</v>
      </c>
    </row>
    <row r="15" customFormat="false" ht="15" hidden="false" customHeight="true" outlineLevel="0" collapsed="false">
      <c r="B15" s="1" t="s">
        <v>5</v>
      </c>
      <c r="C15" s="1" t="s">
        <v>6</v>
      </c>
    </row>
    <row r="16" customFormat="false" ht="15" hidden="false" customHeight="true" outlineLevel="0" collapsed="false">
      <c r="B16" s="1" t="s">
        <v>7</v>
      </c>
      <c r="C16" s="6" t="s">
        <v>8</v>
      </c>
    </row>
    <row r="18" customFormat="false" ht="15" hidden="false" customHeight="true" outlineLevel="0" collapsed="false">
      <c r="B18" s="1" t="s">
        <v>9</v>
      </c>
      <c r="C18" s="1" t="s">
        <v>10</v>
      </c>
    </row>
    <row r="20" customFormat="false" ht="15" hidden="false" customHeight="true" outlineLevel="0" collapsed="false">
      <c r="B20" s="1" t="s">
        <v>11</v>
      </c>
      <c r="C20" s="1" t="s">
        <v>12</v>
      </c>
    </row>
    <row r="23" customFormat="false" ht="15" hidden="false" customHeight="true" outlineLevel="0" collapsed="false">
      <c r="B23" s="7" t="s">
        <v>13</v>
      </c>
      <c r="C23" s="7"/>
      <c r="D23" s="7"/>
      <c r="E23" s="7"/>
      <c r="F23" s="7"/>
      <c r="G23" s="7"/>
    </row>
    <row r="24" customFormat="false" ht="15" hidden="false" customHeight="true" outlineLevel="0" collapsed="false">
      <c r="B24" s="7"/>
      <c r="C24" s="7"/>
      <c r="D24" s="7"/>
      <c r="E24" s="7"/>
      <c r="F24" s="7"/>
      <c r="G24" s="7"/>
    </row>
    <row r="25" customFormat="false" ht="15" hidden="false" customHeight="true" outlineLevel="0" collapsed="false">
      <c r="B25" s="7"/>
      <c r="C25" s="7"/>
      <c r="D25" s="7"/>
      <c r="E25" s="7"/>
      <c r="F25" s="7"/>
      <c r="G25" s="7"/>
    </row>
  </sheetData>
  <mergeCells count="3">
    <mergeCell ref="B3:G5"/>
    <mergeCell ref="B7:G8"/>
    <mergeCell ref="B23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8"/>
  </cols>
  <sheetData>
    <row r="2" customFormat="false" ht="17.25" hidden="false" customHeight="true" outlineLevel="0" collapsed="false">
      <c r="B2" s="8" t="s">
        <v>14</v>
      </c>
      <c r="C2" s="8"/>
      <c r="D2" s="8"/>
      <c r="E2" s="8"/>
      <c r="F2" s="8"/>
      <c r="G2" s="8"/>
      <c r="H2" s="8"/>
      <c r="I2" s="8"/>
      <c r="J2" s="8"/>
    </row>
    <row r="4" customFormat="false" ht="15" hidden="false" customHeight="true" outlineLevel="0" collapsed="false">
      <c r="B4" s="1" t="s">
        <v>15</v>
      </c>
      <c r="C4" s="1" t="str">
        <f aca="false">Inputs_Master!C6</f>
        <v>New Capital Project</v>
      </c>
      <c r="E4" s="1" t="s">
        <v>16</v>
      </c>
      <c r="F4" s="5" t="n">
        <f aca="true">TODAY()</f>
        <v>46069</v>
      </c>
      <c r="H4" s="1" t="s">
        <v>17</v>
      </c>
      <c r="I4" s="9" t="n">
        <f aca="false">Inputs_Master!C11</f>
        <v>2025</v>
      </c>
    </row>
    <row r="6" customFormat="false" ht="15" hidden="false" customHeight="true" outlineLevel="0" collapsed="false">
      <c r="B6" s="10" t="s">
        <v>18</v>
      </c>
      <c r="C6" s="10"/>
      <c r="D6" s="10"/>
    </row>
    <row r="7" customFormat="false" ht="17.25" hidden="false" customHeight="true" outlineLevel="0" collapsed="false">
      <c r="B7" s="1" t="s">
        <v>19</v>
      </c>
      <c r="C7" s="11" t="n">
        <f aca="false">VfM_Comparison!G27</f>
        <v>0</v>
      </c>
    </row>
    <row r="8" customFormat="false" ht="15" hidden="false" customHeight="true" outlineLevel="0" collapsed="false">
      <c r="B8" s="1" t="s">
        <v>20</v>
      </c>
      <c r="C8" s="12" t="n">
        <f aca="false">VfM_Comparison!H27</f>
        <v>0</v>
      </c>
    </row>
    <row r="9" customFormat="false" ht="15" hidden="false" customHeight="true" outlineLevel="0" collapsed="false">
      <c r="B9" s="1" t="s">
        <v>21</v>
      </c>
      <c r="C9" s="12" t="str">
        <f aca="false">IF(C7&gt;0,"✓ POSITIVE VfM","✗ NEGATIVE VfM")</f>
        <v>✗ NEGATIVE VfM</v>
      </c>
    </row>
    <row r="11" customFormat="false" ht="15" hidden="false" customHeight="true" outlineLevel="0" collapsed="false">
      <c r="B11" s="10" t="s">
        <v>22</v>
      </c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true" outlineLevel="0" collapsed="false">
      <c r="B12" s="13" t="s">
        <v>23</v>
      </c>
      <c r="C12" s="13" t="s">
        <v>24</v>
      </c>
      <c r="D12" s="13" t="s">
        <v>25</v>
      </c>
      <c r="E12" s="13" t="s">
        <v>26</v>
      </c>
      <c r="F12" s="13" t="s">
        <v>27</v>
      </c>
      <c r="G12" s="13" t="s">
        <v>28</v>
      </c>
      <c r="H12" s="13" t="s">
        <v>29</v>
      </c>
    </row>
    <row r="13" customFormat="false" ht="15" hidden="false" customHeight="true" outlineLevel="0" collapsed="false">
      <c r="B13" s="1" t="s">
        <v>30</v>
      </c>
      <c r="C13" s="1" t="e">
        <f aca="false">VfM_Comparison!C27</f>
        <v>#N/A</v>
      </c>
      <c r="D13" s="1" t="n">
        <f aca="false">VfM_Comparison!F27</f>
        <v>0</v>
      </c>
      <c r="E13" s="1" t="e">
        <f aca="false">VfM_Comparison!C27-VfM_Comparison!F27</f>
        <v>#N/A</v>
      </c>
      <c r="F13" s="1" t="e">
        <f aca="false">E13/C13</f>
        <v>#N/A</v>
      </c>
      <c r="G13" s="1" t="n">
        <f aca="false">VfM_Comparison!C24-VfM_Comparison!F24</f>
        <v>0</v>
      </c>
      <c r="H13" s="1" t="e">
        <f aca="false">IF(E13&gt;0,"✓ Positive","✗ Negative")</f>
        <v>#N/A</v>
      </c>
    </row>
    <row r="14" customFormat="false" ht="15" hidden="false" customHeight="true" outlineLevel="0" collapsed="false">
      <c r="B14" s="1" t="s">
        <v>31</v>
      </c>
      <c r="C14" s="1" t="e">
        <f aca="false">VfM_Comparison!D27</f>
        <v>#N/A</v>
      </c>
      <c r="D14" s="1" t="n">
        <f aca="false">VfM_Comparison!F27</f>
        <v>0</v>
      </c>
      <c r="E14" s="1" t="e">
        <f aca="false">VfM_Comparison!D27-VfM_Comparison!F27</f>
        <v>#N/A</v>
      </c>
      <c r="F14" s="1" t="e">
        <f aca="false">E14/C14</f>
        <v>#N/A</v>
      </c>
      <c r="G14" s="1" t="n">
        <f aca="false">VfM_Comparison!D24-VfM_Comparison!F24</f>
        <v>0</v>
      </c>
      <c r="H14" s="1" t="e">
        <f aca="false">IF(E14&gt;0,"✓ Positive","✗ Negative")</f>
        <v>#N/A</v>
      </c>
    </row>
    <row r="15" customFormat="false" ht="15" hidden="false" customHeight="true" outlineLevel="0" collapsed="false">
      <c r="B15" s="1" t="s">
        <v>32</v>
      </c>
      <c r="C15" s="1" t="e">
        <f aca="false">VfM_Comparison!E27</f>
        <v>#N/A</v>
      </c>
      <c r="D15" s="1" t="n">
        <f aca="false">VfM_Comparison!F27</f>
        <v>0</v>
      </c>
      <c r="E15" s="1" t="e">
        <f aca="false">VfM_Comparison!E27-VfM_Comparison!F27</f>
        <v>#N/A</v>
      </c>
      <c r="F15" s="1" t="e">
        <f aca="false">E15/C15</f>
        <v>#N/A</v>
      </c>
      <c r="G15" s="1" t="n">
        <f aca="false">VfM_Comparison!E24-VfM_Comparison!F24</f>
        <v>0</v>
      </c>
      <c r="H15" s="1" t="e">
        <f aca="false">IF(E15&gt;0,"✓ Positive","✗ Negative")</f>
        <v>#N/A</v>
      </c>
    </row>
    <row r="17" customFormat="false" ht="15" hidden="false" customHeight="true" outlineLevel="0" collapsed="false">
      <c r="B17" s="10" t="s">
        <v>33</v>
      </c>
      <c r="C17" s="10"/>
      <c r="D17" s="10"/>
      <c r="E17" s="10" t="s">
        <v>34</v>
      </c>
      <c r="F17" s="10"/>
      <c r="G17" s="10"/>
    </row>
    <row r="18" customFormat="false" ht="15" hidden="false" customHeight="true" outlineLevel="0" collapsed="false">
      <c r="B18" s="1" t="s">
        <v>35</v>
      </c>
      <c r="C18" s="1" t="n">
        <f aca="false">Inputs_Master!C41</f>
        <v>0</v>
      </c>
      <c r="E18" s="1" t="s">
        <v>36</v>
      </c>
      <c r="F18" s="1" t="n">
        <f aca="false">Calc_P3!C97</f>
        <v>0</v>
      </c>
      <c r="G18" s="1" t="str">
        <f aca="false">IF(F18&gt;=1.2,"✓ PASS","✗ FAIL")</f>
        <v>✗ FAIL</v>
      </c>
    </row>
    <row r="19" customFormat="false" ht="15" hidden="false" customHeight="true" outlineLevel="0" collapsed="false">
      <c r="B19" s="1" t="s">
        <v>37</v>
      </c>
      <c r="C19" s="1" t="n">
        <f aca="false">Inputs_Master!C42</f>
        <v>0.85</v>
      </c>
      <c r="E19" s="1" t="s">
        <v>38</v>
      </c>
      <c r="F19" s="1" t="n">
        <f aca="false">Calc_P3!C98</f>
        <v>0</v>
      </c>
      <c r="G19" s="1" t="str">
        <f aca="false">IF(F19&gt;=1.5,"✓ PASS","✗ FAIL")</f>
        <v>✗ FAIL</v>
      </c>
    </row>
    <row r="20" customFormat="false" ht="15" hidden="false" customHeight="true" outlineLevel="0" collapsed="false">
      <c r="B20" s="1" t="s">
        <v>39</v>
      </c>
      <c r="C20" s="1" t="str">
        <f aca="false">Inputs_Master!C39&amp;" / "&amp;(1-Inputs_Master!C39)</f>
        <v>-0.07 / 1.07</v>
      </c>
      <c r="E20" s="1" t="s">
        <v>40</v>
      </c>
      <c r="F20" s="1" t="n">
        <f aca="false">Calc_P3!C94</f>
        <v>0</v>
      </c>
      <c r="G20" s="1" t="str">
        <f aca="false">IF(F20&gt;=Inputs_Master!C46,"✓ PASS","✗ FAIL")</f>
        <v>✗ FAIL</v>
      </c>
    </row>
    <row r="22" customFormat="false" ht="15" hidden="false" customHeight="true" outlineLevel="0" collapsed="false">
      <c r="B22" s="14" t="e">
        <f aca="false">CONCATENATE("KEY INSIGHT: P3 delivery provides positive Value for Money against ALL conventional delivery methods. ",IF(E13&gt;=E14,IF(E13&gt;=E15,"Strongest case vs DBB ($",IF(E15&gt;=E14,"Strongest case vs CM ($","Strongest case vs DB ($")),IF(E14&gt;=E15,"Strongest case vs DB ($","Strongest case vs CM ($")),ROUND(MAX(E13:E15),1),"M savings).")</f>
        <v>#N/A</v>
      </c>
      <c r="C22" s="14"/>
      <c r="D22" s="14"/>
      <c r="E22" s="14"/>
      <c r="F22" s="14"/>
      <c r="G22" s="14"/>
      <c r="H22" s="14"/>
      <c r="I22" s="14"/>
      <c r="J22" s="14"/>
    </row>
    <row r="23" customFormat="false" ht="15" hidden="false" customHeight="true" outlineLevel="0" collapsed="false">
      <c r="B23" s="14"/>
      <c r="C23" s="14"/>
      <c r="D23" s="14"/>
      <c r="E23" s="14"/>
      <c r="F23" s="14"/>
      <c r="G23" s="14"/>
      <c r="H23" s="14"/>
      <c r="I23" s="14"/>
      <c r="J23" s="14"/>
    </row>
  </sheetData>
  <mergeCells count="6">
    <mergeCell ref="B2:J2"/>
    <mergeCell ref="B6:D6"/>
    <mergeCell ref="B11:J11"/>
    <mergeCell ref="B17:D17"/>
    <mergeCell ref="E17:G17"/>
    <mergeCell ref="B22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8"/>
    <col collapsed="false" customWidth="true" hidden="false" outlineLevel="0" max="4" min="4" style="1" width="30"/>
  </cols>
  <sheetData>
    <row r="2" customFormat="false" ht="17.25" hidden="false" customHeight="true" outlineLevel="0" collapsed="false">
      <c r="B2" s="8" t="s">
        <v>41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15" t="s">
        <v>42</v>
      </c>
    </row>
    <row r="5" customFormat="false" ht="15" hidden="false" customHeight="true" outlineLevel="0" collapsed="false">
      <c r="B5" s="16" t="s">
        <v>43</v>
      </c>
    </row>
    <row r="6" customFormat="false" ht="15" hidden="false" customHeight="true" outlineLevel="0" collapsed="false">
      <c r="B6" s="1" t="s">
        <v>44</v>
      </c>
      <c r="C6" s="6" t="s">
        <v>45</v>
      </c>
      <c r="D6" s="1" t="s">
        <v>46</v>
      </c>
    </row>
    <row r="7" customFormat="false" ht="15" hidden="false" customHeight="true" outlineLevel="0" collapsed="false">
      <c r="B7" s="1" t="s">
        <v>47</v>
      </c>
      <c r="C7" s="6" t="s">
        <v>48</v>
      </c>
      <c r="D7" s="1" t="s">
        <v>49</v>
      </c>
    </row>
    <row r="8" customFormat="false" ht="15" hidden="false" customHeight="true" outlineLevel="0" collapsed="false">
      <c r="B8" s="1" t="s">
        <v>50</v>
      </c>
      <c r="C8" s="6" t="n">
        <v>3</v>
      </c>
      <c r="D8" s="1" t="s">
        <v>51</v>
      </c>
    </row>
    <row r="9" customFormat="false" ht="15" hidden="false" customHeight="true" outlineLevel="0" collapsed="false">
      <c r="B9" s="1" t="s">
        <v>52</v>
      </c>
      <c r="C9" s="6" t="n">
        <v>30</v>
      </c>
      <c r="D9" s="1" t="s">
        <v>53</v>
      </c>
    </row>
    <row r="10" customFormat="false" ht="15" hidden="false" customHeight="true" outlineLevel="0" collapsed="false">
      <c r="B10" s="1" t="s">
        <v>54</v>
      </c>
      <c r="C10" s="1" t="n">
        <f aca="false">C8+C9</f>
        <v>33</v>
      </c>
      <c r="D10" s="1" t="s">
        <v>55</v>
      </c>
    </row>
    <row r="11" customFormat="false" ht="15" hidden="false" customHeight="true" outlineLevel="0" collapsed="false">
      <c r="B11" s="1" t="s">
        <v>56</v>
      </c>
      <c r="C11" s="6" t="n">
        <v>2025</v>
      </c>
    </row>
    <row r="12" customFormat="false" ht="15" hidden="false" customHeight="false" outlineLevel="0" collapsed="false">
      <c r="C12" s="1" t="n">
        <f aca="false">IF(C11="DBB",1,IF(C11="DB",2,3))</f>
        <v>3</v>
      </c>
    </row>
    <row r="13" customFormat="false" ht="15" hidden="false" customHeight="true" outlineLevel="0" collapsed="false">
      <c r="B13" s="16" t="s">
        <v>57</v>
      </c>
    </row>
    <row r="14" customFormat="false" ht="15" hidden="false" customHeight="true" outlineLevel="0" collapsed="false">
      <c r="B14" s="1" t="s">
        <v>58</v>
      </c>
      <c r="C14" s="17" t="s">
        <v>59</v>
      </c>
      <c r="D14" s="1" t="s">
        <v>60</v>
      </c>
    </row>
    <row r="15" customFormat="false" ht="15" hidden="false" customHeight="true" outlineLevel="0" collapsed="false">
      <c r="B15" s="1" t="s">
        <v>61</v>
      </c>
      <c r="C15" s="1" t="e">
        <f aca="false">MATCH(C11,{"DBB","DB","CM"},0)</f>
        <v>#N/A</v>
      </c>
      <c r="D15" s="1" t="s">
        <v>62</v>
      </c>
    </row>
    <row r="16" customFormat="false" ht="15" hidden="false" customHeight="false" outlineLevel="0" collapsed="false">
      <c r="C16" s="1" t="e">
        <f aca="false">(1+C15)*(1+C17)-1</f>
        <v>#N/A</v>
      </c>
    </row>
    <row r="17" customFormat="false" ht="15" hidden="false" customHeight="true" outlineLevel="0" collapsed="false">
      <c r="B17" s="16" t="s">
        <v>63</v>
      </c>
    </row>
    <row r="18" customFormat="false" ht="15" hidden="false" customHeight="true" outlineLevel="0" collapsed="false">
      <c r="B18" s="1" t="s">
        <v>64</v>
      </c>
      <c r="C18" s="6" t="n">
        <v>0.06</v>
      </c>
      <c r="D18" s="1" t="s">
        <v>65</v>
      </c>
    </row>
    <row r="19" customFormat="false" ht="15" hidden="false" customHeight="true" outlineLevel="0" collapsed="false">
      <c r="B19" s="1" t="s">
        <v>66</v>
      </c>
      <c r="C19" s="1" t="e">
        <f aca="false">(1+C15)*(1+C16)-1</f>
        <v>#N/A</v>
      </c>
      <c r="D19" s="1" t="s">
        <v>67</v>
      </c>
    </row>
    <row r="20" customFormat="false" ht="15" hidden="false" customHeight="true" outlineLevel="0" collapsed="false">
      <c r="B20" s="1" t="s">
        <v>68</v>
      </c>
      <c r="C20" s="6" t="n">
        <v>0.02</v>
      </c>
      <c r="D20" s="1" t="s">
        <v>69</v>
      </c>
    </row>
    <row r="21" customFormat="false" ht="15" hidden="false" customHeight="true" outlineLevel="0" collapsed="false">
      <c r="B21" s="1" t="s">
        <v>70</v>
      </c>
      <c r="C21" s="6" t="n">
        <v>0.035</v>
      </c>
      <c r="D21" s="1" t="s">
        <v>71</v>
      </c>
    </row>
    <row r="22" customFormat="false" ht="15" hidden="false" customHeight="true" outlineLevel="0" collapsed="false">
      <c r="B22" s="1" t="s">
        <v>72</v>
      </c>
      <c r="C22" s="6" t="n">
        <v>0.025</v>
      </c>
    </row>
    <row r="23" customFormat="false" ht="15" hidden="false" customHeight="true" outlineLevel="0" collapsed="false">
      <c r="B23" s="1" t="s">
        <v>73</v>
      </c>
      <c r="C23" s="6" t="n">
        <v>0.035</v>
      </c>
      <c r="D23" s="1" t="s">
        <v>74</v>
      </c>
    </row>
    <row r="24" customFormat="false" ht="15" hidden="false" customHeight="true" outlineLevel="0" collapsed="false">
      <c r="B24" s="1" t="s">
        <v>75</v>
      </c>
      <c r="C24" s="6" t="n">
        <v>0.23</v>
      </c>
      <c r="D24" s="1" t="s">
        <v>76</v>
      </c>
    </row>
    <row r="25" customFormat="false" ht="15" hidden="false" customHeight="true" outlineLevel="0" collapsed="false">
      <c r="B25" s="1" t="s">
        <v>77</v>
      </c>
      <c r="C25" s="6" t="n">
        <v>0.01</v>
      </c>
      <c r="D25" s="1" t="s">
        <v>78</v>
      </c>
    </row>
    <row r="27" customFormat="false" ht="15" hidden="false" customHeight="true" outlineLevel="0" collapsed="false">
      <c r="B27" s="16" t="s">
        <v>79</v>
      </c>
    </row>
    <row r="28" customFormat="false" ht="15" hidden="false" customHeight="true" outlineLevel="0" collapsed="false">
      <c r="B28" s="1" t="s">
        <v>80</v>
      </c>
      <c r="C28" s="6" t="n">
        <v>15</v>
      </c>
      <c r="D28" s="1" t="s">
        <v>81</v>
      </c>
    </row>
    <row r="29" customFormat="false" ht="15" hidden="false" customHeight="true" outlineLevel="0" collapsed="false">
      <c r="B29" s="1" t="s">
        <v>82</v>
      </c>
      <c r="C29" s="6" t="n">
        <v>180</v>
      </c>
      <c r="D29" s="1" t="s">
        <v>81</v>
      </c>
    </row>
    <row r="30" customFormat="false" ht="15" hidden="false" customHeight="true" outlineLevel="0" collapsed="false">
      <c r="B30" s="1" t="s">
        <v>83</v>
      </c>
      <c r="C30" s="6" t="n">
        <v>25</v>
      </c>
      <c r="D30" s="1" t="s">
        <v>81</v>
      </c>
    </row>
    <row r="31" customFormat="false" ht="15" hidden="false" customHeight="true" outlineLevel="0" collapsed="false">
      <c r="B31" s="1" t="s">
        <v>84</v>
      </c>
      <c r="C31" s="1" t="n">
        <f aca="false">SUM(C25:C27)</f>
        <v>0.01</v>
      </c>
      <c r="D31" s="1" t="s">
        <v>85</v>
      </c>
    </row>
    <row r="33" customFormat="false" ht="15" hidden="false" customHeight="true" outlineLevel="0" collapsed="false">
      <c r="B33" s="1" t="s">
        <v>86</v>
      </c>
      <c r="C33" s="6" t="n">
        <v>0.2</v>
      </c>
      <c r="D33" s="1" t="s">
        <v>87</v>
      </c>
    </row>
    <row r="34" customFormat="false" ht="15" hidden="false" customHeight="true" outlineLevel="0" collapsed="false">
      <c r="B34" s="1" t="s">
        <v>88</v>
      </c>
      <c r="C34" s="6" t="n">
        <v>0.55</v>
      </c>
      <c r="D34" s="1" t="s">
        <v>87</v>
      </c>
    </row>
    <row r="35" customFormat="false" ht="15" hidden="false" customHeight="true" outlineLevel="0" collapsed="false">
      <c r="B35" s="1" t="s">
        <v>89</v>
      </c>
      <c r="C35" s="6" t="n">
        <v>0.25</v>
      </c>
      <c r="D35" s="1" t="s">
        <v>87</v>
      </c>
    </row>
    <row r="36" customFormat="false" ht="15" hidden="false" customHeight="true" outlineLevel="0" collapsed="false">
      <c r="B36" s="1" t="s">
        <v>90</v>
      </c>
      <c r="C36" s="1" t="n">
        <f aca="false">SUM(C30:C32)</f>
        <v>25.01</v>
      </c>
      <c r="D36" s="1" t="s">
        <v>91</v>
      </c>
    </row>
    <row r="38" customFormat="false" ht="15" hidden="false" customHeight="true" outlineLevel="0" collapsed="false">
      <c r="B38" s="16" t="s">
        <v>92</v>
      </c>
    </row>
    <row r="39" customFormat="false" ht="15" hidden="false" customHeight="true" outlineLevel="0" collapsed="false">
      <c r="B39" s="1" t="s">
        <v>93</v>
      </c>
      <c r="C39" s="6" t="n">
        <v>-0.07</v>
      </c>
      <c r="D39" s="1" t="s">
        <v>94</v>
      </c>
    </row>
    <row r="40" customFormat="false" ht="15" hidden="false" customHeight="true" outlineLevel="0" collapsed="false">
      <c r="B40" s="1" t="s">
        <v>95</v>
      </c>
      <c r="C40" s="1" t="n">
        <f aca="false">C28*(1+C35)</f>
        <v>18.75</v>
      </c>
      <c r="D40" s="1" t="s">
        <v>85</v>
      </c>
    </row>
    <row r="42" customFormat="false" ht="15" hidden="false" customHeight="true" outlineLevel="0" collapsed="false">
      <c r="B42" s="1" t="s">
        <v>96</v>
      </c>
      <c r="C42" s="6" t="n">
        <v>0.85</v>
      </c>
      <c r="D42" s="1" t="s">
        <v>97</v>
      </c>
    </row>
    <row r="43" customFormat="false" ht="15" hidden="false" customHeight="true" outlineLevel="0" collapsed="false">
      <c r="B43" s="1" t="s">
        <v>98</v>
      </c>
      <c r="C43" s="1" t="n">
        <f aca="false">1-C38</f>
        <v>1</v>
      </c>
      <c r="D43" s="1" t="s">
        <v>99</v>
      </c>
    </row>
    <row r="45" customFormat="false" ht="15" hidden="false" customHeight="true" outlineLevel="0" collapsed="false">
      <c r="B45" s="1" t="s">
        <v>100</v>
      </c>
      <c r="C45" s="1" t="n">
        <f aca="false">C36*C38</f>
        <v>0</v>
      </c>
      <c r="D45" s="1" t="s">
        <v>85</v>
      </c>
    </row>
    <row r="46" customFormat="false" ht="15" hidden="false" customHeight="true" outlineLevel="0" collapsed="false">
      <c r="B46" s="1" t="s">
        <v>101</v>
      </c>
      <c r="C46" s="1" t="n">
        <f aca="false">C36*(1-C38)</f>
        <v>25.01</v>
      </c>
      <c r="D46" s="1" t="s">
        <v>85</v>
      </c>
    </row>
    <row r="48" customFormat="false" ht="15" hidden="false" customHeight="true" outlineLevel="0" collapsed="false">
      <c r="B48" s="1" t="s">
        <v>102</v>
      </c>
      <c r="C48" s="18" t="e">
        <f aca="false">-PMT(C44,C45,C41)</f>
        <v>#NUM!</v>
      </c>
      <c r="D48" s="1" t="s">
        <v>103</v>
      </c>
    </row>
    <row r="49" customFormat="false" ht="15" hidden="false" customHeight="true" outlineLevel="0" collapsed="false">
      <c r="B49" s="1" t="s">
        <v>104</v>
      </c>
      <c r="C49" s="6" t="n">
        <v>25</v>
      </c>
      <c r="D49" s="1" t="s">
        <v>105</v>
      </c>
    </row>
    <row r="50" customFormat="false" ht="15" hidden="false" customHeight="true" outlineLevel="0" collapsed="false">
      <c r="B50" s="1" t="s">
        <v>106</v>
      </c>
      <c r="C50" s="6" t="n">
        <v>0.14</v>
      </c>
      <c r="D50" s="1" t="s">
        <v>107</v>
      </c>
    </row>
    <row r="51" customFormat="false" ht="15" hidden="false" customHeight="true" outlineLevel="0" collapsed="false">
      <c r="B51" s="1" t="s">
        <v>108</v>
      </c>
      <c r="C51" s="6" t="n">
        <v>0.02</v>
      </c>
      <c r="D51" s="1" t="s">
        <v>109</v>
      </c>
    </row>
    <row r="52" customFormat="false" ht="15" hidden="false" customHeight="true" outlineLevel="0" collapsed="false">
      <c r="B52" s="1" t="s">
        <v>110</v>
      </c>
      <c r="C52" s="19" t="e">
        <f aca="false">-PMT(C44,C45,C41)</f>
        <v>#NUM!</v>
      </c>
      <c r="D52" s="1" t="s">
        <v>111</v>
      </c>
    </row>
    <row r="54" customFormat="false" ht="15" hidden="false" customHeight="true" outlineLevel="0" collapsed="false">
      <c r="B54" s="16" t="s">
        <v>112</v>
      </c>
    </row>
    <row r="55" customFormat="false" ht="15" hidden="false" customHeight="true" outlineLevel="0" collapsed="false">
      <c r="B55" s="1" t="s">
        <v>113</v>
      </c>
      <c r="C55" s="6" t="n">
        <v>3.5</v>
      </c>
      <c r="D55" s="1" t="s">
        <v>114</v>
      </c>
    </row>
    <row r="56" customFormat="false" ht="15" hidden="false" customHeight="true" outlineLevel="0" collapsed="false">
      <c r="B56" s="1" t="s">
        <v>115</v>
      </c>
      <c r="C56" s="6" t="n">
        <v>2</v>
      </c>
      <c r="D56" s="1" t="s">
        <v>114</v>
      </c>
    </row>
    <row r="57" customFormat="false" ht="15" hidden="false" customHeight="true" outlineLevel="0" collapsed="false">
      <c r="B57" s="1" t="s">
        <v>116</v>
      </c>
      <c r="C57" s="6" t="e">
        <f aca="false">SUM(C51:C56)</f>
        <v>#NUM!</v>
      </c>
      <c r="D57" s="1" t="s">
        <v>114</v>
      </c>
    </row>
    <row r="58" customFormat="false" ht="15" hidden="false" customHeight="true" outlineLevel="0" collapsed="false">
      <c r="B58" s="1" t="s">
        <v>117</v>
      </c>
      <c r="C58" s="6" t="n">
        <v>1.8</v>
      </c>
      <c r="D58" s="1" t="s">
        <v>114</v>
      </c>
    </row>
    <row r="59" customFormat="false" ht="15" hidden="false" customHeight="true" outlineLevel="0" collapsed="false">
      <c r="B59" s="1" t="s">
        <v>118</v>
      </c>
      <c r="C59" s="6" t="n">
        <v>0.8</v>
      </c>
      <c r="D59" s="1" t="s">
        <v>114</v>
      </c>
    </row>
    <row r="60" customFormat="false" ht="15" hidden="false" customHeight="true" outlineLevel="0" collapsed="false">
      <c r="B60" s="1" t="s">
        <v>119</v>
      </c>
      <c r="C60" s="6" t="n">
        <v>0.5</v>
      </c>
      <c r="D60" s="1" t="s">
        <v>114</v>
      </c>
    </row>
    <row r="61" customFormat="false" ht="15" hidden="false" customHeight="true" outlineLevel="0" collapsed="false">
      <c r="B61" s="1" t="s">
        <v>120</v>
      </c>
      <c r="C61" s="1" t="e">
        <f aca="false">SUM(C51:C56)</f>
        <v>#NUM!</v>
      </c>
      <c r="D61" s="1" t="s">
        <v>111</v>
      </c>
    </row>
    <row r="63" customFormat="false" ht="15" hidden="false" customHeight="true" outlineLevel="0" collapsed="false">
      <c r="B63" s="1" t="s">
        <v>121</v>
      </c>
      <c r="C63" s="6" t="n">
        <v>32.36</v>
      </c>
      <c r="D63" s="1" t="s">
        <v>122</v>
      </c>
    </row>
    <row r="64" customFormat="false" ht="15" hidden="false" customHeight="true" outlineLevel="0" collapsed="false">
      <c r="B64" s="1" t="s">
        <v>123</v>
      </c>
      <c r="C64" s="6" t="n">
        <v>9.5</v>
      </c>
      <c r="D64" s="1" t="s">
        <v>114</v>
      </c>
    </row>
    <row r="65" customFormat="false" ht="15" hidden="false" customHeight="true" outlineLevel="0" collapsed="false">
      <c r="B65" s="1" t="s">
        <v>124</v>
      </c>
      <c r="C65" s="6" t="n">
        <v>-0.15</v>
      </c>
      <c r="D65" s="1" t="s">
        <v>125</v>
      </c>
    </row>
    <row r="66" customFormat="false" ht="15" hidden="false" customHeight="true" outlineLevel="0" collapsed="false">
      <c r="B66" s="1" t="s">
        <v>126</v>
      </c>
      <c r="C66" s="6" t="n">
        <v>0.02</v>
      </c>
      <c r="D66" s="1" t="s">
        <v>127</v>
      </c>
    </row>
    <row r="67" customFormat="false" ht="15" hidden="false" customHeight="true" outlineLevel="0" collapsed="false">
      <c r="B67" s="1" t="s">
        <v>128</v>
      </c>
      <c r="C67" s="6" t="n">
        <v>2</v>
      </c>
      <c r="D67" s="1" t="s">
        <v>114</v>
      </c>
    </row>
    <row r="68" customFormat="false" ht="15" hidden="false" customHeight="true" outlineLevel="0" collapsed="false">
      <c r="B68" s="1" t="s">
        <v>129</v>
      </c>
      <c r="C68" s="6" t="n">
        <v>1</v>
      </c>
      <c r="D68" s="1" t="s">
        <v>114</v>
      </c>
    </row>
    <row r="69" customFormat="false" ht="15" hidden="false" customHeight="true" outlineLevel="0" collapsed="false">
      <c r="B69" s="1" t="s">
        <v>130</v>
      </c>
      <c r="C69" s="6" t="n">
        <v>0.5</v>
      </c>
      <c r="D69" s="1" t="s">
        <v>114</v>
      </c>
    </row>
    <row r="70" customFormat="false" ht="15" hidden="false" customHeight="true" outlineLevel="0" collapsed="false">
      <c r="B70" s="1" t="s">
        <v>131</v>
      </c>
      <c r="C70" s="6" t="n">
        <v>3</v>
      </c>
      <c r="D70" s="1" t="s">
        <v>132</v>
      </c>
    </row>
    <row r="72" customFormat="false" ht="15" hidden="false" customHeight="true" outlineLevel="0" collapsed="false">
      <c r="B72" s="16" t="s">
        <v>133</v>
      </c>
    </row>
    <row r="73" customFormat="false" ht="15" hidden="false" customHeight="true" outlineLevel="0" collapsed="false">
      <c r="B73" s="1" t="s">
        <v>134</v>
      </c>
      <c r="C73" s="6" t="n">
        <v>40</v>
      </c>
      <c r="D73" s="1" t="s">
        <v>135</v>
      </c>
    </row>
    <row r="74" customFormat="false" ht="15" hidden="false" customHeight="true" outlineLevel="0" collapsed="false">
      <c r="B74" s="1" t="s">
        <v>136</v>
      </c>
      <c r="C74" s="6" t="n">
        <v>25</v>
      </c>
      <c r="D74" s="1" t="s">
        <v>81</v>
      </c>
    </row>
    <row r="75" customFormat="false" ht="15" hidden="false" customHeight="true" outlineLevel="0" collapsed="false">
      <c r="B75" s="1" t="s">
        <v>137</v>
      </c>
      <c r="C75" s="6" t="n">
        <v>0.05</v>
      </c>
      <c r="D75" s="1" t="s">
        <v>138</v>
      </c>
    </row>
    <row r="76" customFormat="false" ht="15" hidden="false" customHeight="true" outlineLevel="0" collapsed="false">
      <c r="B76" s="1" t="s">
        <v>139</v>
      </c>
      <c r="C76" s="6" t="n">
        <v>0.15</v>
      </c>
      <c r="D76" s="1" t="s">
        <v>140</v>
      </c>
    </row>
    <row r="78" customFormat="false" ht="15" hidden="false" customHeight="true" outlineLevel="0" collapsed="false">
      <c r="B78" s="16" t="s">
        <v>141</v>
      </c>
    </row>
    <row r="79" customFormat="false" ht="15" hidden="false" customHeight="true" outlineLevel="0" collapsed="false">
      <c r="B79" s="1" t="s">
        <v>142</v>
      </c>
      <c r="C79" s="6" t="n">
        <v>3</v>
      </c>
      <c r="D79" s="1" t="s">
        <v>143</v>
      </c>
    </row>
    <row r="80" customFormat="false" ht="15" hidden="false" customHeight="true" outlineLevel="0" collapsed="false">
      <c r="B80" s="1" t="s">
        <v>144</v>
      </c>
      <c r="C80" s="6" t="n">
        <v>0.04</v>
      </c>
      <c r="D80" s="1" t="s">
        <v>145</v>
      </c>
    </row>
    <row r="81" customFormat="false" ht="15" hidden="false" customHeight="true" outlineLevel="0" collapsed="false">
      <c r="B81" s="1" t="s">
        <v>146</v>
      </c>
      <c r="C81" s="6" t="n">
        <v>0.5</v>
      </c>
      <c r="D81" s="1" t="s">
        <v>147</v>
      </c>
    </row>
    <row r="82" customFormat="false" ht="15" hidden="false" customHeight="true" outlineLevel="0" collapsed="false">
      <c r="B82" s="1" t="s">
        <v>148</v>
      </c>
      <c r="C82" s="6" t="n">
        <v>0.015</v>
      </c>
      <c r="D82" s="1" t="s">
        <v>109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35"/>
  </cols>
  <sheetData>
    <row r="2" customFormat="false" ht="17.25" hidden="false" customHeight="true" outlineLevel="0" collapsed="false">
      <c r="B2" s="8" t="s">
        <v>149</v>
      </c>
      <c r="C2" s="8"/>
      <c r="D2" s="8"/>
      <c r="E2" s="8"/>
      <c r="F2" s="8"/>
    </row>
    <row r="3" customFormat="false" ht="15" hidden="false" customHeight="true" outlineLevel="0" collapsed="false">
      <c r="B3" s="15" t="s">
        <v>150</v>
      </c>
    </row>
    <row r="5" customFormat="false" ht="15" hidden="false" customHeight="true" outlineLevel="0" collapsed="false">
      <c r="B5" s="16" t="s">
        <v>151</v>
      </c>
      <c r="C5" s="16" t="s">
        <v>152</v>
      </c>
      <c r="D5" s="16" t="s">
        <v>59</v>
      </c>
      <c r="E5" s="16" t="s">
        <v>153</v>
      </c>
      <c r="F5" s="16" t="s">
        <v>154</v>
      </c>
      <c r="G5" s="16" t="s">
        <v>155</v>
      </c>
    </row>
    <row r="6" customFormat="false" ht="15" hidden="false" customHeight="true" outlineLevel="0" collapsed="false">
      <c r="B6" s="20" t="s">
        <v>156</v>
      </c>
    </row>
    <row r="7" customFormat="false" ht="15" hidden="false" customHeight="true" outlineLevel="0" collapsed="false">
      <c r="B7" s="1" t="s">
        <v>157</v>
      </c>
      <c r="C7" s="6" t="n">
        <v>1</v>
      </c>
      <c r="D7" s="6" t="n">
        <v>0.95</v>
      </c>
      <c r="E7" s="6" t="n">
        <v>0.98</v>
      </c>
      <c r="F7" s="21" t="n">
        <f aca="false">IF(Inputs_Master!$C$11="DBB",C7,IF(Inputs_Master!$C$11="DB",D7,E7))</f>
        <v>0.98</v>
      </c>
      <c r="G7" s="1" t="s">
        <v>158</v>
      </c>
    </row>
    <row r="8" customFormat="false" ht="15" hidden="false" customHeight="true" outlineLevel="0" collapsed="false">
      <c r="B8" s="1" t="s">
        <v>159</v>
      </c>
      <c r="C8" s="6" t="n">
        <v>0.18</v>
      </c>
      <c r="D8" s="6" t="n">
        <v>0.1</v>
      </c>
      <c r="E8" s="6" t="n">
        <v>0.14</v>
      </c>
      <c r="F8" s="21" t="n">
        <f aca="false">IF(Inputs_Master!$C$11="DBB",C8,IF(Inputs_Master!$C$11="DB",D8,E8))</f>
        <v>0.14</v>
      </c>
      <c r="G8" s="1" t="s">
        <v>160</v>
      </c>
    </row>
    <row r="9" customFormat="false" ht="15" hidden="false" customHeight="true" outlineLevel="0" collapsed="false">
      <c r="B9" s="1" t="s">
        <v>161</v>
      </c>
      <c r="C9" s="6" t="n">
        <v>0.1</v>
      </c>
      <c r="D9" s="6" t="n">
        <v>0.06</v>
      </c>
      <c r="E9" s="6" t="n">
        <v>0.08</v>
      </c>
      <c r="F9" s="21" t="n">
        <f aca="false">IF(Inputs_Master!$C$11="DBB",C9,IF(Inputs_Master!$C$11="DB",D9,E9))</f>
        <v>0.08</v>
      </c>
      <c r="G9" s="1" t="s">
        <v>162</v>
      </c>
    </row>
    <row r="10" customFormat="false" ht="15" hidden="false" customHeight="true" outlineLevel="0" collapsed="false">
      <c r="B10" s="1" t="s">
        <v>163</v>
      </c>
      <c r="C10" s="6" t="n">
        <v>0</v>
      </c>
      <c r="D10" s="6" t="n">
        <v>0</v>
      </c>
      <c r="E10" s="6" t="n">
        <v>0.04</v>
      </c>
      <c r="F10" s="21" t="n">
        <f aca="false">IF(Inputs_Master!$C$11="DBB",C10,IF(Inputs_Master!$C$11="DB",D10,E10))</f>
        <v>0.04</v>
      </c>
      <c r="G10" s="1" t="s">
        <v>164</v>
      </c>
    </row>
    <row r="11" customFormat="false" ht="15" hidden="false" customHeight="true" outlineLevel="0" collapsed="false">
      <c r="B11" s="1" t="s">
        <v>165</v>
      </c>
      <c r="C11" s="6" t="n">
        <v>1</v>
      </c>
      <c r="D11" s="6" t="n">
        <v>0.83</v>
      </c>
      <c r="E11" s="6" t="n">
        <v>0.92</v>
      </c>
      <c r="F11" s="21" t="n">
        <f aca="false">IF(Inputs_Master!$C$11="DBB",C11,IF(Inputs_Master!$C$11="DB",D11,E11))</f>
        <v>0.92</v>
      </c>
      <c r="G11" s="1" t="s">
        <v>166</v>
      </c>
    </row>
    <row r="13" customFormat="false" ht="15" hidden="false" customHeight="true" outlineLevel="0" collapsed="false">
      <c r="B13" s="20" t="s">
        <v>167</v>
      </c>
    </row>
    <row r="14" customFormat="false" ht="15" hidden="false" customHeight="true" outlineLevel="0" collapsed="false">
      <c r="B14" s="1" t="s">
        <v>168</v>
      </c>
      <c r="C14" s="6" t="n">
        <v>1</v>
      </c>
      <c r="D14" s="6" t="n">
        <v>0.2</v>
      </c>
      <c r="E14" s="6" t="n">
        <v>1</v>
      </c>
      <c r="F14" s="21" t="n">
        <f aca="false">IF(Inputs_Master!$C$11="DBB",C14,IF(Inputs_Master!$C$11="DB",D14,E14))</f>
        <v>1</v>
      </c>
      <c r="G14" s="1" t="s">
        <v>169</v>
      </c>
    </row>
    <row r="15" customFormat="false" ht="15" hidden="false" customHeight="true" outlineLevel="0" collapsed="false">
      <c r="B15" s="1" t="s">
        <v>170</v>
      </c>
      <c r="C15" s="6" t="n">
        <v>0.3</v>
      </c>
      <c r="D15" s="6" t="n">
        <v>0.15</v>
      </c>
      <c r="E15" s="6" t="n">
        <v>0.5</v>
      </c>
      <c r="F15" s="21" t="n">
        <f aca="false">IF(Inputs_Master!$C$11="DBB",C15,IF(Inputs_Master!$C$11="DB",D15,E15))</f>
        <v>0.5</v>
      </c>
      <c r="G15" s="1" t="s">
        <v>171</v>
      </c>
    </row>
    <row r="16" customFormat="false" ht="15" hidden="false" customHeight="true" outlineLevel="0" collapsed="false">
      <c r="B16" s="1" t="s">
        <v>172</v>
      </c>
      <c r="C16" s="6" t="n">
        <v>0.8</v>
      </c>
      <c r="D16" s="6" t="n">
        <v>0.3</v>
      </c>
      <c r="E16" s="6" t="n">
        <v>0.6</v>
      </c>
      <c r="F16" s="21" t="n">
        <f aca="false">IF(Inputs_Master!$C$11="DBB",C16,IF(Inputs_Master!$C$11="DB",D16,E16))</f>
        <v>0.6</v>
      </c>
      <c r="G16" s="1" t="s">
        <v>173</v>
      </c>
    </row>
    <row r="17" customFormat="false" ht="15" hidden="false" customHeight="true" outlineLevel="0" collapsed="false">
      <c r="B17" s="1" t="s">
        <v>174</v>
      </c>
      <c r="C17" s="6" t="n">
        <v>1</v>
      </c>
      <c r="D17" s="6" t="n">
        <v>0.2</v>
      </c>
      <c r="E17" s="6" t="n">
        <v>0.8</v>
      </c>
      <c r="F17" s="21" t="n">
        <f aca="false">IF(Inputs_Master!$C$11="DBB",C17,IF(Inputs_Master!$C$11="DB",D17,E17))</f>
        <v>0.8</v>
      </c>
      <c r="G17" s="1" t="s">
        <v>175</v>
      </c>
    </row>
    <row r="18" customFormat="false" ht="15" hidden="false" customHeight="true" outlineLevel="0" collapsed="false">
      <c r="B18" s="1" t="s">
        <v>176</v>
      </c>
      <c r="C18" s="6" t="n">
        <v>1</v>
      </c>
      <c r="D18" s="6" t="n">
        <v>1</v>
      </c>
      <c r="E18" s="6" t="n">
        <v>1</v>
      </c>
      <c r="F18" s="21" t="n">
        <f aca="false">IF(Inputs_Master!$C$11="DBB",C18,IF(Inputs_Master!$C$11="DB",D18,E18))</f>
        <v>1</v>
      </c>
      <c r="G18" s="1" t="s">
        <v>177</v>
      </c>
    </row>
    <row r="19" customFormat="false" ht="15" hidden="false" customHeight="true" outlineLevel="0" collapsed="false">
      <c r="B19" s="1" t="s">
        <v>178</v>
      </c>
      <c r="C19" s="6" t="n">
        <v>1</v>
      </c>
      <c r="D19" s="6" t="n">
        <v>1</v>
      </c>
      <c r="E19" s="6" t="n">
        <v>1</v>
      </c>
      <c r="F19" s="21" t="n">
        <f aca="false">IF(Inputs_Master!$C$11="DBB",C19,IF(Inputs_Master!$C$11="DB",D19,E19))</f>
        <v>1</v>
      </c>
      <c r="G19" s="1" t="s">
        <v>177</v>
      </c>
    </row>
    <row r="21" customFormat="false" ht="15" hidden="false" customHeight="true" outlineLevel="0" collapsed="false">
      <c r="B21" s="20" t="s">
        <v>179</v>
      </c>
    </row>
    <row r="22" customFormat="false" ht="15" hidden="false" customHeight="true" outlineLevel="0" collapsed="false">
      <c r="B22" s="1" t="s">
        <v>180</v>
      </c>
      <c r="C22" s="6" t="n">
        <v>3</v>
      </c>
      <c r="D22" s="6" t="n">
        <v>2</v>
      </c>
      <c r="E22" s="6" t="n">
        <v>4</v>
      </c>
      <c r="F22" s="21" t="n">
        <f aca="false">IF(Inputs_Master!$C$11="DBB",C22,IF(Inputs_Master!$C$11="DB",D22,E22))</f>
        <v>4</v>
      </c>
      <c r="G22" s="1" t="s">
        <v>181</v>
      </c>
    </row>
    <row r="23" customFormat="false" ht="15" hidden="false" customHeight="true" outlineLevel="0" collapsed="false">
      <c r="B23" s="1" t="s">
        <v>182</v>
      </c>
      <c r="C23" s="6" t="n">
        <v>0.15</v>
      </c>
      <c r="D23" s="6" t="n">
        <v>0.15</v>
      </c>
      <c r="E23" s="6" t="n">
        <v>0.15</v>
      </c>
      <c r="F23" s="21" t="n">
        <f aca="false">IF(Inputs_Master!$C$11="DBB",C23,IF(Inputs_Master!$C$11="DB",D23,E23))</f>
        <v>0.15</v>
      </c>
      <c r="G23" s="1" t="s">
        <v>183</v>
      </c>
    </row>
    <row r="24" customFormat="false" ht="15" hidden="false" customHeight="true" outlineLevel="0" collapsed="false">
      <c r="B24" s="1" t="s">
        <v>184</v>
      </c>
      <c r="C24" s="6" t="n">
        <v>0.8</v>
      </c>
      <c r="D24" s="6" t="n">
        <v>0.5</v>
      </c>
      <c r="E24" s="6" t="n">
        <v>0.6</v>
      </c>
      <c r="F24" s="21" t="n">
        <f aca="false">IF(Inputs_Master!$C$11="DBB",C24,IF(Inputs_Master!$C$11="DB",D24,E24))</f>
        <v>0.6</v>
      </c>
      <c r="G24" s="1" t="s">
        <v>185</v>
      </c>
    </row>
    <row r="25" customFormat="false" ht="15" hidden="false" customHeight="true" outlineLevel="0" collapsed="false">
      <c r="B25" s="1" t="s">
        <v>186</v>
      </c>
      <c r="C25" s="6" t="n">
        <v>1</v>
      </c>
      <c r="D25" s="6" t="n">
        <v>0.8</v>
      </c>
      <c r="E25" s="6" t="n">
        <v>1.2</v>
      </c>
      <c r="F25" s="21" t="n">
        <f aca="false">IF(Inputs_Master!$C$11="DBB",C25,IF(Inputs_Master!$C$11="DB",D25,E25))</f>
        <v>1.2</v>
      </c>
      <c r="G25" s="1" t="s">
        <v>187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25"/>
    <col collapsed="false" customWidth="true" hidden="false" outlineLevel="0" max="5" min="5" style="1" width="15"/>
    <col collapsed="false" customWidth="true" hidden="false" outlineLevel="0" max="6" min="6" style="1" width="10"/>
    <col collapsed="false" customWidth="true" hidden="false" outlineLevel="0" max="14" min="7" style="1" width="12"/>
  </cols>
  <sheetData>
    <row r="2" customFormat="false" ht="17.25" hidden="false" customHeight="true" outlineLevel="0" collapsed="false">
      <c r="B2" s="8" t="s">
        <v>188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15" hidden="false" customHeight="true" outlineLevel="0" collapsed="false">
      <c r="B4" s="16" t="s">
        <v>189</v>
      </c>
      <c r="C4" s="16" t="s">
        <v>190</v>
      </c>
      <c r="D4" s="16" t="s">
        <v>191</v>
      </c>
      <c r="E4" s="16" t="s">
        <v>192</v>
      </c>
      <c r="F4" s="16" t="s">
        <v>193</v>
      </c>
      <c r="G4" s="16" t="s">
        <v>194</v>
      </c>
      <c r="H4" s="16" t="s">
        <v>195</v>
      </c>
      <c r="I4" s="16" t="s">
        <v>196</v>
      </c>
      <c r="J4" s="16" t="s">
        <v>197</v>
      </c>
      <c r="K4" s="16" t="s">
        <v>198</v>
      </c>
      <c r="L4" s="16" t="s">
        <v>199</v>
      </c>
      <c r="M4" s="16" t="s">
        <v>200</v>
      </c>
      <c r="N4" s="16" t="s">
        <v>201</v>
      </c>
    </row>
    <row r="5" customFormat="false" ht="15" hidden="false" customHeight="true" outlineLevel="0" collapsed="false">
      <c r="B5" s="1" t="s">
        <v>202</v>
      </c>
      <c r="C5" s="1" t="s">
        <v>203</v>
      </c>
      <c r="D5" s="1" t="s">
        <v>204</v>
      </c>
      <c r="E5" s="1" t="s">
        <v>205</v>
      </c>
      <c r="F5" s="6" t="n">
        <v>0.7</v>
      </c>
      <c r="G5" s="6" t="n">
        <v>12.5</v>
      </c>
      <c r="H5" s="6" t="n">
        <v>25</v>
      </c>
      <c r="I5" s="6" t="n">
        <v>50</v>
      </c>
      <c r="J5" s="1" t="n">
        <f aca="false">(G5+4*H5+I5)/6</f>
        <v>27.0833333333333</v>
      </c>
      <c r="K5" s="1" t="n">
        <f aca="false">(I5-G5)/6</f>
        <v>6.25</v>
      </c>
      <c r="L5" s="6" t="s">
        <v>206</v>
      </c>
      <c r="M5" s="6" t="n">
        <v>0</v>
      </c>
      <c r="N5" s="1" t="n">
        <f aca="false">F5*J5</f>
        <v>18.9583333333333</v>
      </c>
    </row>
    <row r="6" customFormat="false" ht="15" hidden="false" customHeight="true" outlineLevel="0" collapsed="false">
      <c r="B6" s="1" t="s">
        <v>207</v>
      </c>
      <c r="C6" s="1" t="s">
        <v>203</v>
      </c>
      <c r="D6" s="1" t="s">
        <v>208</v>
      </c>
      <c r="E6" s="1" t="s">
        <v>209</v>
      </c>
      <c r="F6" s="6" t="n">
        <v>0.4</v>
      </c>
      <c r="G6" s="6" t="n">
        <v>6</v>
      </c>
      <c r="H6" s="6" t="n">
        <v>12</v>
      </c>
      <c r="I6" s="6" t="n">
        <v>24</v>
      </c>
      <c r="J6" s="1" t="n">
        <f aca="false">(G6+4*H6+I6)/6</f>
        <v>13</v>
      </c>
      <c r="K6" s="1" t="n">
        <f aca="false">(I6-G6)/6</f>
        <v>3</v>
      </c>
      <c r="L6" s="6" t="s">
        <v>206</v>
      </c>
      <c r="M6" s="6" t="n">
        <v>0</v>
      </c>
      <c r="N6" s="1" t="n">
        <f aca="false">F6*J6</f>
        <v>5.2</v>
      </c>
    </row>
    <row r="7" customFormat="false" ht="15" hidden="false" customHeight="true" outlineLevel="0" collapsed="false">
      <c r="B7" s="1" t="s">
        <v>210</v>
      </c>
      <c r="C7" s="1" t="s">
        <v>211</v>
      </c>
      <c r="D7" s="1" t="s">
        <v>212</v>
      </c>
      <c r="E7" s="1" t="s">
        <v>213</v>
      </c>
      <c r="F7" s="6" t="n">
        <v>0.6</v>
      </c>
      <c r="G7" s="6" t="n">
        <v>4.8</v>
      </c>
      <c r="H7" s="6" t="n">
        <v>8</v>
      </c>
      <c r="I7" s="6" t="n">
        <v>14</v>
      </c>
      <c r="J7" s="1" t="n">
        <f aca="false">(G7+4*H7+I7)/6</f>
        <v>8.46666666666667</v>
      </c>
      <c r="K7" s="1" t="n">
        <f aca="false">(I7-G7)/6</f>
        <v>1.53333333333333</v>
      </c>
      <c r="L7" s="6" t="s">
        <v>206</v>
      </c>
      <c r="M7" s="6" t="n">
        <v>0</v>
      </c>
      <c r="N7" s="1" t="n">
        <f aca="false">F7*J7</f>
        <v>5.08</v>
      </c>
    </row>
    <row r="8" customFormat="false" ht="15" hidden="false" customHeight="true" outlineLevel="0" collapsed="false">
      <c r="B8" s="1" t="s">
        <v>214</v>
      </c>
      <c r="C8" s="1" t="s">
        <v>211</v>
      </c>
      <c r="D8" s="1" t="s">
        <v>215</v>
      </c>
      <c r="E8" s="1" t="s">
        <v>216</v>
      </c>
      <c r="F8" s="6" t="n">
        <v>0.5</v>
      </c>
      <c r="G8" s="6" t="n">
        <v>9</v>
      </c>
      <c r="H8" s="6" t="n">
        <v>15</v>
      </c>
      <c r="I8" s="6" t="n">
        <v>26.2</v>
      </c>
      <c r="J8" s="1" t="n">
        <f aca="false">(G8+4*H8+I8)/6</f>
        <v>15.8666666666667</v>
      </c>
      <c r="K8" s="1" t="n">
        <f aca="false">(I8-G8)/6</f>
        <v>2.86666666666667</v>
      </c>
      <c r="L8" s="6" t="s">
        <v>206</v>
      </c>
      <c r="M8" s="6" t="n">
        <v>0</v>
      </c>
      <c r="N8" s="1" t="n">
        <f aca="false">F8*J8</f>
        <v>7.93333333333333</v>
      </c>
    </row>
    <row r="9" customFormat="false" ht="15" hidden="false" customHeight="true" outlineLevel="0" collapsed="false">
      <c r="B9" s="1" t="s">
        <v>217</v>
      </c>
      <c r="C9" s="1" t="s">
        <v>218</v>
      </c>
      <c r="D9" s="1" t="s">
        <v>219</v>
      </c>
      <c r="E9" s="1" t="s">
        <v>220</v>
      </c>
      <c r="F9" s="6" t="n">
        <v>0.3</v>
      </c>
      <c r="G9" s="6" t="n">
        <v>2</v>
      </c>
      <c r="H9" s="6" t="n">
        <v>5</v>
      </c>
      <c r="I9" s="6" t="n">
        <v>12.5</v>
      </c>
      <c r="J9" s="1" t="n">
        <f aca="false">(G9+4*H9+I9)/6</f>
        <v>5.75</v>
      </c>
      <c r="K9" s="1" t="n">
        <f aca="false">(I9-G9)/6</f>
        <v>1.75</v>
      </c>
      <c r="L9" s="6" t="s">
        <v>221</v>
      </c>
      <c r="M9" s="6" t="n">
        <v>0.5</v>
      </c>
      <c r="N9" s="1" t="n">
        <f aca="false">F9*J9</f>
        <v>1.725</v>
      </c>
    </row>
    <row r="10" customFormat="false" ht="15" hidden="false" customHeight="true" outlineLevel="0" collapsed="false">
      <c r="B10" s="1" t="s">
        <v>222</v>
      </c>
      <c r="C10" s="1" t="s">
        <v>223</v>
      </c>
      <c r="D10" s="1" t="s">
        <v>224</v>
      </c>
      <c r="E10" s="1" t="s">
        <v>225</v>
      </c>
      <c r="F10" s="6" t="n">
        <v>0.2</v>
      </c>
      <c r="G10" s="6" t="n">
        <v>1</v>
      </c>
      <c r="H10" s="6" t="n">
        <v>4</v>
      </c>
      <c r="I10" s="6" t="n">
        <v>12</v>
      </c>
      <c r="J10" s="1" t="n">
        <f aca="false">(G10+4*H10+I10)/6</f>
        <v>4.83333333333333</v>
      </c>
      <c r="K10" s="1" t="n">
        <f aca="false">(I10-G10)/6</f>
        <v>1.83333333333333</v>
      </c>
      <c r="L10" s="6" t="s">
        <v>221</v>
      </c>
      <c r="M10" s="6" t="n">
        <v>0.5</v>
      </c>
      <c r="N10" s="1" t="n">
        <f aca="false">F10*J10</f>
        <v>0.966666666666667</v>
      </c>
    </row>
    <row r="11" customFormat="false" ht="15" hidden="false" customHeight="true" outlineLevel="0" collapsed="false">
      <c r="B11" s="1" t="s">
        <v>226</v>
      </c>
      <c r="C11" s="1" t="s">
        <v>227</v>
      </c>
      <c r="D11" s="1" t="s">
        <v>228</v>
      </c>
      <c r="E11" s="1" t="s">
        <v>229</v>
      </c>
      <c r="F11" s="6" t="n">
        <v>0.05</v>
      </c>
      <c r="G11" s="6" t="n">
        <v>2</v>
      </c>
      <c r="H11" s="6" t="n">
        <v>20</v>
      </c>
      <c r="I11" s="6" t="n">
        <v>100</v>
      </c>
      <c r="J11" s="1" t="n">
        <f aca="false">(G11+4*H11+I11)/6</f>
        <v>30.3333333333333</v>
      </c>
      <c r="K11" s="1" t="n">
        <f aca="false">(I11-G11)/6</f>
        <v>16.3333333333333</v>
      </c>
      <c r="L11" s="6" t="s">
        <v>221</v>
      </c>
      <c r="M11" s="6" t="n">
        <v>0.5</v>
      </c>
      <c r="N11" s="1" t="n">
        <f aca="false">F11*J11</f>
        <v>1.51666666666667</v>
      </c>
    </row>
    <row r="12" customFormat="false" ht="15" hidden="false" customHeight="true" outlineLevel="0" collapsed="false">
      <c r="B12" s="1" t="s">
        <v>230</v>
      </c>
      <c r="C12" s="1" t="s">
        <v>231</v>
      </c>
      <c r="D12" s="1" t="s">
        <v>232</v>
      </c>
      <c r="E12" s="1" t="s">
        <v>233</v>
      </c>
      <c r="F12" s="6" t="n">
        <v>0.35</v>
      </c>
      <c r="G12" s="6" t="n">
        <v>3</v>
      </c>
      <c r="H12" s="6" t="n">
        <v>6</v>
      </c>
      <c r="I12" s="6" t="n">
        <v>12</v>
      </c>
      <c r="J12" s="1" t="n">
        <f aca="false">(G12+4*H12+I12)/6</f>
        <v>6.5</v>
      </c>
      <c r="K12" s="1" t="n">
        <f aca="false">(I12-G12)/6</f>
        <v>1.5</v>
      </c>
      <c r="L12" s="6" t="s">
        <v>234</v>
      </c>
      <c r="M12" s="6" t="n">
        <v>0</v>
      </c>
      <c r="N12" s="1" t="n">
        <f aca="false">F12*J12</f>
        <v>2.275</v>
      </c>
    </row>
    <row r="13" customFormat="false" ht="15" hidden="false" customHeight="true" outlineLevel="0" collapsed="false">
      <c r="B13" s="1" t="s">
        <v>235</v>
      </c>
      <c r="C13" s="1" t="s">
        <v>236</v>
      </c>
      <c r="D13" s="1" t="s">
        <v>237</v>
      </c>
      <c r="E13" s="1" t="s">
        <v>238</v>
      </c>
      <c r="F13" s="6" t="n">
        <v>0.25</v>
      </c>
      <c r="G13" s="6" t="n">
        <v>1.2</v>
      </c>
      <c r="H13" s="6" t="n">
        <v>3</v>
      </c>
      <c r="I13" s="6" t="n">
        <v>7.5</v>
      </c>
      <c r="J13" s="1" t="n">
        <f aca="false">(G13+4*H13+I13)/6</f>
        <v>3.45</v>
      </c>
      <c r="K13" s="1" t="n">
        <f aca="false">(I13-G13)/6</f>
        <v>1.05</v>
      </c>
      <c r="L13" s="6" t="s">
        <v>234</v>
      </c>
      <c r="M13" s="6" t="n">
        <v>0</v>
      </c>
      <c r="N13" s="1" t="n">
        <f aca="false">F13*J13</f>
        <v>0.8625</v>
      </c>
    </row>
    <row r="14" customFormat="false" ht="15" hidden="false" customHeight="true" outlineLevel="0" collapsed="false">
      <c r="B14" s="1" t="s">
        <v>239</v>
      </c>
      <c r="C14" s="1" t="s">
        <v>240</v>
      </c>
      <c r="D14" s="1" t="s">
        <v>241</v>
      </c>
      <c r="E14" s="1" t="s">
        <v>242</v>
      </c>
      <c r="F14" s="6" t="n">
        <v>0.2</v>
      </c>
      <c r="G14" s="6" t="n">
        <v>1.5</v>
      </c>
      <c r="H14" s="6" t="n">
        <v>5</v>
      </c>
      <c r="I14" s="6" t="n">
        <v>15</v>
      </c>
      <c r="J14" s="1" t="n">
        <f aca="false">(G14+4*H14+I14)/6</f>
        <v>6.08333333333333</v>
      </c>
      <c r="K14" s="1" t="n">
        <f aca="false">(I14-G14)/6</f>
        <v>2.25</v>
      </c>
      <c r="L14" s="6" t="s">
        <v>234</v>
      </c>
      <c r="M14" s="6" t="n">
        <v>0</v>
      </c>
      <c r="N14" s="1" t="n">
        <f aca="false">F14*J14</f>
        <v>1.21666666666667</v>
      </c>
    </row>
    <row r="16" customFormat="false" ht="15" hidden="false" customHeight="true" outlineLevel="0" collapsed="false">
      <c r="B16" s="20" t="s">
        <v>243</v>
      </c>
    </row>
    <row r="17" customFormat="false" ht="15" hidden="false" customHeight="true" outlineLevel="0" collapsed="false">
      <c r="B17" s="1" t="s">
        <v>244</v>
      </c>
      <c r="N17" s="12" t="n">
        <f aca="false">SUM(N5:N14)</f>
        <v>45.7341666666667</v>
      </c>
    </row>
    <row r="18" customFormat="false" ht="15" hidden="false" customHeight="true" outlineLevel="0" collapsed="false">
      <c r="B18" s="1" t="s">
        <v>245</v>
      </c>
      <c r="N18" s="12" t="n">
        <f aca="false">SUMPRODUCT((L5:L14="PSC")*N5:N14)+SUMPRODUCT((L5:L14="Shared")*N5:N14*0.5)</f>
        <v>39.2758333333333</v>
      </c>
    </row>
    <row r="19" customFormat="false" ht="15" hidden="false" customHeight="true" outlineLevel="0" collapsed="false">
      <c r="B19" s="1" t="s">
        <v>246</v>
      </c>
      <c r="N19" s="12" t="n">
        <f aca="false">SUMPRODUCT((L5:L14="Shared")*N5:N14*M5:M14)</f>
        <v>2.10416666666667</v>
      </c>
    </row>
    <row r="20" customFormat="false" ht="15" hidden="false" customHeight="true" outlineLevel="0" collapsed="false">
      <c r="B20" s="1" t="s">
        <v>247</v>
      </c>
      <c r="N20" s="12" t="n">
        <f aca="false">N18-N19</f>
        <v>37.1716666666667</v>
      </c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6" min="3" style="1" width="11"/>
  </cols>
  <sheetData>
    <row r="2" customFormat="false" ht="17.25" hidden="false" customHeight="true" outlineLevel="0" collapsed="false">
      <c r="B2" s="8" t="s">
        <v>248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customFormat="false" ht="15" hidden="false" customHeight="true" outlineLevel="0" collapsed="false">
      <c r="B3" s="1" t="s">
        <v>249</v>
      </c>
      <c r="C3" s="22" t="n">
        <f aca="false">Inputs_Master!C11</f>
        <v>2025</v>
      </c>
      <c r="D3" s="1" t="s">
        <v>250</v>
      </c>
    </row>
    <row r="5" customFormat="false" ht="15" hidden="false" customHeight="true" outlineLevel="0" collapsed="false">
      <c r="B5" s="1" t="s">
        <v>251</v>
      </c>
      <c r="C5" s="1" t="n">
        <v>0</v>
      </c>
      <c r="D5" s="1" t="n">
        <v>1</v>
      </c>
      <c r="E5" s="1" t="n">
        <v>2</v>
      </c>
      <c r="F5" s="1" t="n">
        <v>3</v>
      </c>
      <c r="G5" s="1" t="n">
        <v>4</v>
      </c>
      <c r="H5" s="1" t="n">
        <v>5</v>
      </c>
      <c r="I5" s="1" t="n">
        <v>6</v>
      </c>
      <c r="J5" s="1" t="n">
        <v>7</v>
      </c>
      <c r="K5" s="1" t="n">
        <v>8</v>
      </c>
      <c r="L5" s="1" t="n">
        <v>9</v>
      </c>
      <c r="M5" s="1" t="n">
        <v>10</v>
      </c>
      <c r="N5" s="1" t="n">
        <v>11</v>
      </c>
      <c r="O5" s="1" t="n">
        <v>12</v>
      </c>
      <c r="P5" s="1" t="n">
        <v>13</v>
      </c>
      <c r="Q5" s="1" t="n">
        <v>14</v>
      </c>
      <c r="R5" s="1" t="n">
        <v>15</v>
      </c>
      <c r="S5" s="1" t="n">
        <v>16</v>
      </c>
      <c r="T5" s="1" t="n">
        <v>17</v>
      </c>
      <c r="U5" s="1" t="n">
        <v>18</v>
      </c>
      <c r="V5" s="1" t="n">
        <v>19</v>
      </c>
      <c r="W5" s="1" t="n">
        <v>20</v>
      </c>
      <c r="X5" s="1" t="n">
        <v>21</v>
      </c>
      <c r="Y5" s="1" t="n">
        <v>22</v>
      </c>
      <c r="Z5" s="1" t="n">
        <v>23</v>
      </c>
      <c r="AA5" s="1" t="n">
        <v>24</v>
      </c>
      <c r="AB5" s="1" t="n">
        <v>25</v>
      </c>
      <c r="AC5" s="1" t="n">
        <v>26</v>
      </c>
      <c r="AD5" s="1" t="n">
        <v>27</v>
      </c>
      <c r="AE5" s="1" t="n">
        <v>28</v>
      </c>
      <c r="AF5" s="1" t="n">
        <v>29</v>
      </c>
      <c r="AG5" s="1" t="n">
        <v>30</v>
      </c>
      <c r="AH5" s="1" t="n">
        <v>31</v>
      </c>
      <c r="AI5" s="1" t="n">
        <v>32</v>
      </c>
      <c r="AJ5" s="1" t="n">
        <v>33</v>
      </c>
    </row>
    <row r="6" customFormat="false" ht="15" hidden="false" customHeight="true" outlineLevel="0" collapsed="false">
      <c r="B6" s="1" t="s">
        <v>252</v>
      </c>
      <c r="C6" s="1" t="str">
        <f aca="false">IF(C5&lt;Inputs_Master!$C$8,"Construction","Operating")</f>
        <v>Construction</v>
      </c>
      <c r="D6" s="1" t="str">
        <f aca="false">IF(D5&lt;Inputs_Master!$C$8,"Construction","Operating")</f>
        <v>Construction</v>
      </c>
      <c r="E6" s="1" t="str">
        <f aca="false">IF(E5&lt;Inputs_Master!$C$8,"Construction","Operating")</f>
        <v>Construction</v>
      </c>
      <c r="F6" s="1" t="str">
        <f aca="false">IF(F5&lt;Inputs_Master!$C$8,"Construction","Operating")</f>
        <v>Operating</v>
      </c>
      <c r="G6" s="1" t="str">
        <f aca="false">IF(G5&lt;Inputs_Master!$C$8,"Construction","Operating")</f>
        <v>Operating</v>
      </c>
      <c r="H6" s="1" t="str">
        <f aca="false">IF(H5&lt;Inputs_Master!$C$8,"Construction","Operating")</f>
        <v>Operating</v>
      </c>
      <c r="I6" s="1" t="str">
        <f aca="false">IF(I5&lt;Inputs_Master!$C$8,"Construction","Operating")</f>
        <v>Operating</v>
      </c>
      <c r="J6" s="1" t="str">
        <f aca="false">IF(J5&lt;Inputs_Master!$C$8,"Construction","Operating")</f>
        <v>Operating</v>
      </c>
      <c r="K6" s="1" t="str">
        <f aca="false">IF(K5&lt;Inputs_Master!$C$8,"Construction","Operating")</f>
        <v>Operating</v>
      </c>
      <c r="L6" s="1" t="str">
        <f aca="false">IF(L5&lt;Inputs_Master!$C$8,"Construction","Operating")</f>
        <v>Operating</v>
      </c>
      <c r="M6" s="1" t="str">
        <f aca="false">IF(M5&lt;Inputs_Master!$C$8,"Construction","Operating")</f>
        <v>Operating</v>
      </c>
      <c r="N6" s="1" t="str">
        <f aca="false">IF(N5&lt;Inputs_Master!$C$8,"Construction","Operating")</f>
        <v>Operating</v>
      </c>
      <c r="O6" s="1" t="str">
        <f aca="false">IF(O5&lt;Inputs_Master!$C$8,"Construction","Operating")</f>
        <v>Operating</v>
      </c>
      <c r="P6" s="1" t="str">
        <f aca="false">IF(P5&lt;Inputs_Master!$C$8,"Construction","Operating")</f>
        <v>Operating</v>
      </c>
      <c r="Q6" s="1" t="str">
        <f aca="false">IF(Q5&lt;Inputs_Master!$C$8,"Construction","Operating")</f>
        <v>Operating</v>
      </c>
      <c r="R6" s="1" t="str">
        <f aca="false">IF(R5&lt;Inputs_Master!$C$8,"Construction","Operating")</f>
        <v>Operating</v>
      </c>
      <c r="S6" s="1" t="str">
        <f aca="false">IF(S5&lt;Inputs_Master!$C$8,"Construction","Operating")</f>
        <v>Operating</v>
      </c>
      <c r="T6" s="1" t="str">
        <f aca="false">IF(T5&lt;Inputs_Master!$C$8,"Construction","Operating")</f>
        <v>Operating</v>
      </c>
      <c r="U6" s="1" t="str">
        <f aca="false">IF(U5&lt;Inputs_Master!$C$8,"Construction","Operating")</f>
        <v>Operating</v>
      </c>
      <c r="V6" s="1" t="str">
        <f aca="false">IF(V5&lt;Inputs_Master!$C$8,"Construction","Operating")</f>
        <v>Operating</v>
      </c>
      <c r="W6" s="1" t="str">
        <f aca="false">IF(W5&lt;Inputs_Master!$C$8,"Construction","Operating")</f>
        <v>Operating</v>
      </c>
      <c r="X6" s="1" t="str">
        <f aca="false">IF(X5&lt;Inputs_Master!$C$8,"Construction","Operating")</f>
        <v>Operating</v>
      </c>
      <c r="Y6" s="1" t="str">
        <f aca="false">IF(Y5&lt;Inputs_Master!$C$8,"Construction","Operating")</f>
        <v>Operating</v>
      </c>
      <c r="Z6" s="1" t="str">
        <f aca="false">IF(Z5&lt;Inputs_Master!$C$8,"Construction","Operating")</f>
        <v>Operating</v>
      </c>
      <c r="AA6" s="1" t="str">
        <f aca="false">IF(AA5&lt;Inputs_Master!$C$8,"Construction","Operating")</f>
        <v>Operating</v>
      </c>
      <c r="AB6" s="1" t="str">
        <f aca="false">IF(AB5&lt;Inputs_Master!$C$8,"Construction","Operating")</f>
        <v>Operating</v>
      </c>
      <c r="AC6" s="1" t="str">
        <f aca="false">IF(AC5&lt;Inputs_Master!$C$8,"Construction","Operating")</f>
        <v>Operating</v>
      </c>
      <c r="AD6" s="1" t="str">
        <f aca="false">IF(AD5&lt;Inputs_Master!$C$8,"Construction","Operating")</f>
        <v>Operating</v>
      </c>
      <c r="AE6" s="1" t="str">
        <f aca="false">IF(AE5&lt;Inputs_Master!$C$8,"Construction","Operating")</f>
        <v>Operating</v>
      </c>
      <c r="AF6" s="1" t="str">
        <f aca="false">IF(AF5&lt;Inputs_Master!$C$8,"Construction","Operating")</f>
        <v>Operating</v>
      </c>
      <c r="AG6" s="1" t="str">
        <f aca="false">IF(AG5&lt;Inputs_Master!$C$8,"Construction","Operating")</f>
        <v>Operating</v>
      </c>
      <c r="AH6" s="1" t="str">
        <f aca="false">IF(AH5&lt;Inputs_Master!$C$8,"Construction","Operating")</f>
        <v>Operating</v>
      </c>
      <c r="AI6" s="1" t="str">
        <f aca="false">IF(AI5&lt;Inputs_Master!$C$8,"Construction","Operating")</f>
        <v>Operating</v>
      </c>
      <c r="AJ6" s="1" t="str">
        <f aca="false">IF(AJ5&lt;Inputs_Master!$C$8,"Construction","Operating")</f>
        <v>Operating</v>
      </c>
    </row>
    <row r="7" customFormat="false" ht="15" hidden="false" customHeight="true" outlineLevel="0" collapsed="false">
      <c r="B7" s="1" t="s">
        <v>253</v>
      </c>
      <c r="C7" s="1" t="n">
        <f aca="false">IF(C5&lt;=Inputs_Master!$C$10,1,0)</f>
        <v>1</v>
      </c>
      <c r="D7" s="1" t="n">
        <f aca="false">IF(D5&lt;=Inputs_Master!$C$10,1,0)</f>
        <v>1</v>
      </c>
      <c r="E7" s="1" t="n">
        <f aca="false">IF(E5&lt;=Inputs_Master!$C$10,1,0)</f>
        <v>1</v>
      </c>
      <c r="F7" s="1" t="n">
        <f aca="false">IF(F5&lt;=Inputs_Master!$C$10,1,0)</f>
        <v>1</v>
      </c>
      <c r="G7" s="1" t="n">
        <f aca="false">IF(G5&lt;=Inputs_Master!$C$10,1,0)</f>
        <v>1</v>
      </c>
      <c r="H7" s="1" t="n">
        <f aca="false">IF(H5&lt;=Inputs_Master!$C$10,1,0)</f>
        <v>1</v>
      </c>
      <c r="I7" s="1" t="n">
        <f aca="false">IF(I5&lt;=Inputs_Master!$C$10,1,0)</f>
        <v>1</v>
      </c>
      <c r="J7" s="1" t="n">
        <f aca="false">IF(J5&lt;=Inputs_Master!$C$10,1,0)</f>
        <v>1</v>
      </c>
      <c r="K7" s="1" t="n">
        <f aca="false">IF(K5&lt;=Inputs_Master!$C$10,1,0)</f>
        <v>1</v>
      </c>
      <c r="L7" s="1" t="n">
        <f aca="false">IF(L5&lt;=Inputs_Master!$C$10,1,0)</f>
        <v>1</v>
      </c>
      <c r="M7" s="1" t="n">
        <f aca="false">IF(M5&lt;=Inputs_Master!$C$10,1,0)</f>
        <v>1</v>
      </c>
      <c r="N7" s="1" t="n">
        <f aca="false">IF(N5&lt;=Inputs_Master!$C$10,1,0)</f>
        <v>1</v>
      </c>
      <c r="O7" s="1" t="n">
        <f aca="false">IF(O5&lt;=Inputs_Master!$C$10,1,0)</f>
        <v>1</v>
      </c>
      <c r="P7" s="1" t="n">
        <f aca="false">IF(P5&lt;=Inputs_Master!$C$10,1,0)</f>
        <v>1</v>
      </c>
      <c r="Q7" s="1" t="n">
        <f aca="false">IF(Q5&lt;=Inputs_Master!$C$10,1,0)</f>
        <v>1</v>
      </c>
      <c r="R7" s="1" t="n">
        <f aca="false">IF(R5&lt;=Inputs_Master!$C$10,1,0)</f>
        <v>1</v>
      </c>
      <c r="S7" s="1" t="n">
        <f aca="false">IF(S5&lt;=Inputs_Master!$C$10,1,0)</f>
        <v>1</v>
      </c>
      <c r="T7" s="1" t="n">
        <f aca="false">IF(T5&lt;=Inputs_Master!$C$10,1,0)</f>
        <v>1</v>
      </c>
      <c r="U7" s="1" t="n">
        <f aca="false">IF(U5&lt;=Inputs_Master!$C$10,1,0)</f>
        <v>1</v>
      </c>
      <c r="V7" s="1" t="n">
        <f aca="false">IF(V5&lt;=Inputs_Master!$C$10,1,0)</f>
        <v>1</v>
      </c>
      <c r="W7" s="1" t="n">
        <f aca="false">IF(W5&lt;=Inputs_Master!$C$10,1,0)</f>
        <v>1</v>
      </c>
      <c r="X7" s="1" t="n">
        <f aca="false">IF(X5&lt;=Inputs_Master!$C$10,1,0)</f>
        <v>1</v>
      </c>
      <c r="Y7" s="1" t="n">
        <f aca="false">IF(Y5&lt;=Inputs_Master!$C$10,1,0)</f>
        <v>1</v>
      </c>
      <c r="Z7" s="1" t="n">
        <f aca="false">IF(Z5&lt;=Inputs_Master!$C$10,1,0)</f>
        <v>1</v>
      </c>
      <c r="AA7" s="1" t="n">
        <f aca="false">IF(AA5&lt;=Inputs_Master!$C$10,1,0)</f>
        <v>1</v>
      </c>
      <c r="AB7" s="1" t="n">
        <f aca="false">IF(AB5&lt;=Inputs_Master!$C$10,1,0)</f>
        <v>1</v>
      </c>
      <c r="AC7" s="1" t="n">
        <f aca="false">IF(AC5&lt;=Inputs_Master!$C$10,1,0)</f>
        <v>1</v>
      </c>
      <c r="AD7" s="1" t="n">
        <f aca="false">IF(AD5&lt;=Inputs_Master!$C$10,1,0)</f>
        <v>1</v>
      </c>
      <c r="AE7" s="1" t="n">
        <f aca="false">IF(AE5&lt;=Inputs_Master!$C$10,1,0)</f>
        <v>1</v>
      </c>
      <c r="AF7" s="1" t="n">
        <f aca="false">IF(AF5&lt;=Inputs_Master!$C$10,1,0)</f>
        <v>1</v>
      </c>
      <c r="AG7" s="1" t="n">
        <f aca="false">IF(AG5&lt;=Inputs_Master!$C$10,1,0)</f>
        <v>1</v>
      </c>
      <c r="AH7" s="1" t="n">
        <f aca="false">IF(AH5&lt;=Inputs_Master!$C$10,1,0)</f>
        <v>1</v>
      </c>
      <c r="AI7" s="1" t="n">
        <f aca="false">IF(AI5&lt;=Inputs_Master!$C$10,1,0)</f>
        <v>1</v>
      </c>
      <c r="AJ7" s="1" t="n">
        <f aca="false">IF(AJ5&lt;=Inputs_Master!$C$10,1,0)</f>
        <v>1</v>
      </c>
    </row>
    <row r="9" customFormat="false" ht="15" hidden="false" customHeight="true" outlineLevel="0" collapsed="false">
      <c r="B9" s="16" t="s">
        <v>254</v>
      </c>
    </row>
    <row r="10" customFormat="false" ht="15" hidden="false" customHeight="true" outlineLevel="0" collapsed="false">
      <c r="B10" s="1" t="s">
        <v>255</v>
      </c>
      <c r="C10" s="1" t="n">
        <f aca="false">IF(C7=1,IF(C6="Construction",Inputs_Master!$C$28*Delivery_Params!$F$7*Inputs_Master!$C$30,0),0)</f>
        <v>367.5</v>
      </c>
      <c r="D10" s="1" t="n">
        <f aca="false">IF(D7=1,IF(D6="Construction",Inputs_Master!$C$28*Delivery_Params!$F$7*Inputs_Master!$C$31,0),0)</f>
        <v>0.147</v>
      </c>
      <c r="E10" s="1" t="n">
        <f aca="false">IF(E7=1,IF(E6="Construction",Inputs_Master!$C$28*Delivery_Params!$F$7*Inputs_Master!$C$32,0),0)</f>
        <v>0</v>
      </c>
      <c r="F10" s="1" t="s">
        <v>256</v>
      </c>
      <c r="G10" s="1" t="s">
        <v>256</v>
      </c>
      <c r="H10" s="1" t="s">
        <v>256</v>
      </c>
      <c r="I10" s="1" t="s">
        <v>256</v>
      </c>
      <c r="J10" s="1" t="s">
        <v>256</v>
      </c>
      <c r="K10" s="1" t="s">
        <v>256</v>
      </c>
      <c r="L10" s="1" t="s">
        <v>256</v>
      </c>
      <c r="M10" s="1" t="s">
        <v>256</v>
      </c>
      <c r="N10" s="1" t="s">
        <v>256</v>
      </c>
      <c r="O10" s="1" t="s">
        <v>256</v>
      </c>
      <c r="P10" s="1" t="s">
        <v>256</v>
      </c>
      <c r="Q10" s="1" t="s">
        <v>256</v>
      </c>
      <c r="R10" s="1" t="s">
        <v>256</v>
      </c>
      <c r="S10" s="1" t="s">
        <v>256</v>
      </c>
      <c r="T10" s="1" t="s">
        <v>256</v>
      </c>
      <c r="U10" s="1" t="s">
        <v>256</v>
      </c>
      <c r="V10" s="1" t="s">
        <v>256</v>
      </c>
      <c r="W10" s="1" t="s">
        <v>256</v>
      </c>
      <c r="X10" s="1" t="s">
        <v>256</v>
      </c>
      <c r="Y10" s="1" t="s">
        <v>256</v>
      </c>
      <c r="Z10" s="1" t="s">
        <v>256</v>
      </c>
      <c r="AA10" s="1" t="s">
        <v>256</v>
      </c>
      <c r="AB10" s="1" t="s">
        <v>256</v>
      </c>
      <c r="AC10" s="1" t="s">
        <v>256</v>
      </c>
      <c r="AD10" s="1" t="s">
        <v>256</v>
      </c>
      <c r="AE10" s="1" t="s">
        <v>256</v>
      </c>
      <c r="AF10" s="1" t="s">
        <v>256</v>
      </c>
      <c r="AG10" s="1" t="s">
        <v>256</v>
      </c>
      <c r="AH10" s="1" t="s">
        <v>256</v>
      </c>
      <c r="AI10" s="1" t="s">
        <v>256</v>
      </c>
      <c r="AJ10" s="1" t="s">
        <v>256</v>
      </c>
    </row>
    <row r="11" customFormat="false" ht="15" hidden="false" customHeight="true" outlineLevel="0" collapsed="false">
      <c r="B11" s="1" t="s">
        <v>257</v>
      </c>
      <c r="C11" s="1" t="n">
        <f aca="false">IF(C7=1,IF(C6="Construction",POWER(1+Inputs_Master!$C$18,C5),1),0)</f>
        <v>1</v>
      </c>
      <c r="D11" s="1" t="n">
        <f aca="false">IF(D7=1,IF(D6="Construction",POWER(1+Inputs_Master!$C$18,D5),1),0)</f>
        <v>1.06</v>
      </c>
      <c r="E11" s="1" t="n">
        <f aca="false">IF(E7=1,IF(E6="Construction",POWER(1+Inputs_Master!$C$18,E5),1),0)</f>
        <v>1.1236</v>
      </c>
      <c r="F11" s="1" t="n">
        <f aca="false">IF(F7=1,IF(F6="Construction",POWER(1+Inputs_Master!$C$18,F5),1),0)</f>
        <v>1</v>
      </c>
      <c r="G11" s="1" t="n">
        <f aca="false">IF(G7=1,IF(G6="Construction",POWER(1+Inputs_Master!$C$18,G5),1),0)</f>
        <v>1</v>
      </c>
      <c r="H11" s="1" t="n">
        <f aca="false">IF(H7=1,IF(H6="Construction",POWER(1+Inputs_Master!$C$18,H5),1),0)</f>
        <v>1</v>
      </c>
      <c r="I11" s="1" t="n">
        <f aca="false">IF(I7=1,IF(I6="Construction",POWER(1+Inputs_Master!$C$18,I5),1),0)</f>
        <v>1</v>
      </c>
      <c r="J11" s="1" t="n">
        <f aca="false">IF(J7=1,IF(J6="Construction",POWER(1+Inputs_Master!$C$18,J5),1),0)</f>
        <v>1</v>
      </c>
      <c r="K11" s="1" t="n">
        <f aca="false">IF(K7=1,IF(K6="Construction",POWER(1+Inputs_Master!$C$18,K5),1),0)</f>
        <v>1</v>
      </c>
      <c r="L11" s="1" t="n">
        <f aca="false">IF(L7=1,IF(L6="Construction",POWER(1+Inputs_Master!$C$18,L5),1),0)</f>
        <v>1</v>
      </c>
      <c r="M11" s="1" t="n">
        <f aca="false">IF(M7=1,IF(M6="Construction",POWER(1+Inputs_Master!$C$18,M5),1),0)</f>
        <v>1</v>
      </c>
      <c r="N11" s="1" t="n">
        <f aca="false">IF(N7=1,IF(N6="Construction",POWER(1+Inputs_Master!$C$18,N5),1),0)</f>
        <v>1</v>
      </c>
      <c r="O11" s="1" t="n">
        <f aca="false">IF(O7=1,IF(O6="Construction",POWER(1+Inputs_Master!$C$18,O5),1),0)</f>
        <v>1</v>
      </c>
      <c r="P11" s="1" t="n">
        <f aca="false">IF(P7=1,IF(P6="Construction",POWER(1+Inputs_Master!$C$18,P5),1),0)</f>
        <v>1</v>
      </c>
      <c r="Q11" s="1" t="n">
        <f aca="false">IF(Q7=1,IF(Q6="Construction",POWER(1+Inputs_Master!$C$18,Q5),1),0)</f>
        <v>1</v>
      </c>
      <c r="R11" s="1" t="n">
        <f aca="false">IF(R7=1,IF(R6="Construction",POWER(1+Inputs_Master!$C$18,R5),1),0)</f>
        <v>1</v>
      </c>
      <c r="S11" s="1" t="n">
        <f aca="false">IF(S7=1,IF(S6="Construction",POWER(1+Inputs_Master!$C$18,S5),1),0)</f>
        <v>1</v>
      </c>
      <c r="T11" s="1" t="n">
        <f aca="false">IF(T7=1,IF(T6="Construction",POWER(1+Inputs_Master!$C$18,T5),1),0)</f>
        <v>1</v>
      </c>
      <c r="U11" s="1" t="n">
        <f aca="false">IF(U7=1,IF(U6="Construction",POWER(1+Inputs_Master!$C$18,U5),1),0)</f>
        <v>1</v>
      </c>
      <c r="V11" s="1" t="n">
        <f aca="false">IF(V7=1,IF(V6="Construction",POWER(1+Inputs_Master!$C$18,V5),1),0)</f>
        <v>1</v>
      </c>
      <c r="W11" s="1" t="n">
        <f aca="false">IF(W7=1,IF(W6="Construction",POWER(1+Inputs_Master!$C$18,W5),1),0)</f>
        <v>1</v>
      </c>
      <c r="X11" s="1" t="n">
        <f aca="false">IF(X7=1,IF(X6="Construction",POWER(1+Inputs_Master!$C$18,X5),1),0)</f>
        <v>1</v>
      </c>
      <c r="Y11" s="1" t="n">
        <f aca="false">IF(Y7=1,IF(Y6="Construction",POWER(1+Inputs_Master!$C$18,Y5),1),0)</f>
        <v>1</v>
      </c>
      <c r="Z11" s="1" t="n">
        <f aca="false">IF(Z7=1,IF(Z6="Construction",POWER(1+Inputs_Master!$C$18,Z5),1),0)</f>
        <v>1</v>
      </c>
      <c r="AA11" s="1" t="n">
        <f aca="false">IF(AA7=1,IF(AA6="Construction",POWER(1+Inputs_Master!$C$18,AA5),1),0)</f>
        <v>1</v>
      </c>
      <c r="AB11" s="1" t="n">
        <f aca="false">IF(AB7=1,IF(AB6="Construction",POWER(1+Inputs_Master!$C$18,AB5),1),0)</f>
        <v>1</v>
      </c>
      <c r="AC11" s="1" t="n">
        <f aca="false">IF(AC7=1,IF(AC6="Construction",POWER(1+Inputs_Master!$C$18,AC5),1),0)</f>
        <v>1</v>
      </c>
      <c r="AD11" s="1" t="n">
        <f aca="false">IF(AD7=1,IF(AD6="Construction",POWER(1+Inputs_Master!$C$18,AD5),1),0)</f>
        <v>1</v>
      </c>
      <c r="AE11" s="1" t="n">
        <f aca="false">IF(AE7=1,IF(AE6="Construction",POWER(1+Inputs_Master!$C$18,AE5),1),0)</f>
        <v>1</v>
      </c>
      <c r="AF11" s="1" t="n">
        <f aca="false">IF(AF7=1,IF(AF6="Construction",POWER(1+Inputs_Master!$C$18,AF5),1),0)</f>
        <v>1</v>
      </c>
      <c r="AG11" s="1" t="n">
        <f aca="false">IF(AG7=1,IF(AG6="Construction",POWER(1+Inputs_Master!$C$18,AG5),1),0)</f>
        <v>1</v>
      </c>
      <c r="AH11" s="1" t="n">
        <f aca="false">IF(AH7=1,IF(AH6="Construction",POWER(1+Inputs_Master!$C$18,AH5),1),0)</f>
        <v>1</v>
      </c>
      <c r="AI11" s="1" t="n">
        <f aca="false">IF(AI7=1,IF(AI6="Construction",POWER(1+Inputs_Master!$C$18,AI5),1),0)</f>
        <v>1</v>
      </c>
      <c r="AJ11" s="1" t="n">
        <f aca="false">IF(AJ7=1,IF(AJ6="Construction",POWER(1+Inputs_Master!$C$18,AJ5),1),0)</f>
        <v>1</v>
      </c>
    </row>
    <row r="12" customFormat="false" ht="15" hidden="false" customHeight="true" outlineLevel="0" collapsed="false">
      <c r="B12" s="1" t="s">
        <v>258</v>
      </c>
      <c r="C12" s="1" t="n">
        <f aca="false">IF(C7=1,C10*C11,0)</f>
        <v>367.5</v>
      </c>
      <c r="D12" s="1" t="n">
        <f aca="false">IF(D7=1,D10*D11,0)</f>
        <v>0.15582</v>
      </c>
      <c r="E12" s="1" t="n">
        <f aca="false">IF(E7=1,E10*E11,0)</f>
        <v>0</v>
      </c>
      <c r="F12" s="1" t="n">
        <f aca="false">IF(F7=1,F10*F11,0)</f>
        <v>0</v>
      </c>
      <c r="G12" s="1" t="n">
        <f aca="false">IF(G7=1,G10*G11,0)</f>
        <v>0</v>
      </c>
      <c r="H12" s="1" t="n">
        <f aca="false">IF(H7=1,H10*H11,0)</f>
        <v>0</v>
      </c>
      <c r="I12" s="1" t="n">
        <f aca="false">IF(I7=1,I10*I11,0)</f>
        <v>0</v>
      </c>
      <c r="J12" s="1" t="n">
        <f aca="false">IF(J7=1,J10*J11,0)</f>
        <v>0</v>
      </c>
      <c r="K12" s="1" t="n">
        <f aca="false">IF(K7=1,K10*K11,0)</f>
        <v>0</v>
      </c>
      <c r="L12" s="1" t="n">
        <f aca="false">IF(L7=1,L10*L11,0)</f>
        <v>0</v>
      </c>
      <c r="M12" s="1" t="n">
        <f aca="false">IF(M7=1,M10*M11,0)</f>
        <v>0</v>
      </c>
      <c r="N12" s="1" t="n">
        <f aca="false">IF(N7=1,N10*N11,0)</f>
        <v>0</v>
      </c>
      <c r="O12" s="1" t="n">
        <f aca="false">IF(O7=1,O10*O11,0)</f>
        <v>0</v>
      </c>
      <c r="P12" s="1" t="n">
        <f aca="false">IF(P7=1,P10*P11,0)</f>
        <v>0</v>
      </c>
      <c r="Q12" s="1" t="n">
        <f aca="false">IF(Q7=1,Q10*Q11,0)</f>
        <v>0</v>
      </c>
      <c r="R12" s="1" t="n">
        <f aca="false">IF(R7=1,R10*R11,0)</f>
        <v>0</v>
      </c>
      <c r="S12" s="1" t="n">
        <f aca="false">IF(S7=1,S10*S11,0)</f>
        <v>0</v>
      </c>
      <c r="T12" s="1" t="n">
        <f aca="false">IF(T7=1,T10*T11,0)</f>
        <v>0</v>
      </c>
      <c r="U12" s="1" t="n">
        <f aca="false">IF(U7=1,U10*U11,0)</f>
        <v>0</v>
      </c>
      <c r="V12" s="1" t="n">
        <f aca="false">IF(V7=1,V10*V11,0)</f>
        <v>0</v>
      </c>
      <c r="W12" s="1" t="n">
        <f aca="false">IF(W7=1,W10*W11,0)</f>
        <v>0</v>
      </c>
      <c r="X12" s="1" t="n">
        <f aca="false">IF(X7=1,X10*X11,0)</f>
        <v>0</v>
      </c>
      <c r="Y12" s="1" t="n">
        <f aca="false">IF(Y7=1,Y10*Y11,0)</f>
        <v>0</v>
      </c>
      <c r="Z12" s="1" t="n">
        <f aca="false">IF(Z7=1,Z10*Z11,0)</f>
        <v>0</v>
      </c>
      <c r="AA12" s="1" t="n">
        <f aca="false">IF(AA7=1,AA10*AA11,0)</f>
        <v>0</v>
      </c>
      <c r="AB12" s="1" t="n">
        <f aca="false">IF(AB7=1,AB10*AB11,0)</f>
        <v>0</v>
      </c>
      <c r="AC12" s="1" t="n">
        <f aca="false">IF(AC7=1,AC10*AC11,0)</f>
        <v>0</v>
      </c>
      <c r="AD12" s="1" t="n">
        <f aca="false">IF(AD7=1,AD10*AD11,0)</f>
        <v>0</v>
      </c>
      <c r="AE12" s="1" t="n">
        <f aca="false">IF(AE7=1,AE10*AE11,0)</f>
        <v>0</v>
      </c>
      <c r="AF12" s="1" t="n">
        <f aca="false">IF(AF7=1,AF10*AF11,0)</f>
        <v>0</v>
      </c>
      <c r="AG12" s="1" t="n">
        <f aca="false">IF(AG7=1,AG10*AG11,0)</f>
        <v>0</v>
      </c>
      <c r="AH12" s="1" t="n">
        <f aca="false">IF(AH7=1,AH10*AH11,0)</f>
        <v>0</v>
      </c>
      <c r="AI12" s="1" t="n">
        <f aca="false">IF(AI7=1,AI10*AI11,0)</f>
        <v>0</v>
      </c>
      <c r="AJ12" s="1" t="n">
        <f aca="false">IF(AJ7=1,AJ10*AJ11,0)</f>
        <v>0</v>
      </c>
    </row>
    <row r="13" customFormat="false" ht="15" hidden="false" customHeight="true" outlineLevel="0" collapsed="false">
      <c r="B13" s="1" t="s">
        <v>259</v>
      </c>
      <c r="C13" s="1" t="n">
        <f aca="false">IF(C7=1,IF(C6="Construction",C12*Delivery_Params!$F$8,0),0)</f>
        <v>51.45</v>
      </c>
      <c r="D13" s="1" t="n">
        <f aca="false">IF(D7=1,IF(D6="Construction",D12*Delivery_Params!$F$8,0),0)</f>
        <v>0.0218148</v>
      </c>
      <c r="E13" s="1" t="n">
        <f aca="false">IF(E7=1,IF(E6="Construction",E12*Delivery_Params!$F$8,0),0)</f>
        <v>0</v>
      </c>
      <c r="F13" s="1" t="n">
        <f aca="false">IF(F7=1,IF(F6="Construction",F12*Delivery_Params!$F$8,0),0)</f>
        <v>0</v>
      </c>
      <c r="G13" s="1" t="n">
        <f aca="false">IF(G7=1,IF(G6="Construction",G12*Delivery_Params!$F$8,0),0)</f>
        <v>0</v>
      </c>
      <c r="H13" s="1" t="n">
        <f aca="false">IF(H7=1,IF(H6="Construction",H12*Delivery_Params!$F$8,0),0)</f>
        <v>0</v>
      </c>
      <c r="I13" s="1" t="n">
        <f aca="false">IF(I7=1,IF(I6="Construction",I12*Delivery_Params!$F$8,0),0)</f>
        <v>0</v>
      </c>
      <c r="J13" s="1" t="n">
        <f aca="false">IF(J7=1,IF(J6="Construction",J12*Delivery_Params!$F$8,0),0)</f>
        <v>0</v>
      </c>
      <c r="K13" s="1" t="n">
        <f aca="false">IF(K7=1,IF(K6="Construction",K12*Delivery_Params!$F$8,0),0)</f>
        <v>0</v>
      </c>
      <c r="L13" s="1" t="n">
        <f aca="false">IF(L7=1,IF(L6="Construction",L12*Delivery_Params!$F$8,0),0)</f>
        <v>0</v>
      </c>
      <c r="M13" s="1" t="n">
        <f aca="false">IF(M7=1,IF(M6="Construction",M12*Delivery_Params!$F$8,0),0)</f>
        <v>0</v>
      </c>
      <c r="N13" s="1" t="n">
        <f aca="false">IF(N7=1,IF(N6="Construction",N12*Delivery_Params!$F$8,0),0)</f>
        <v>0</v>
      </c>
      <c r="O13" s="1" t="n">
        <f aca="false">IF(O7=1,IF(O6="Construction",O12*Delivery_Params!$F$8,0),0)</f>
        <v>0</v>
      </c>
      <c r="P13" s="1" t="n">
        <f aca="false">IF(P7=1,IF(P6="Construction",P12*Delivery_Params!$F$8,0),0)</f>
        <v>0</v>
      </c>
      <c r="Q13" s="1" t="n">
        <f aca="false">IF(Q7=1,IF(Q6="Construction",Q12*Delivery_Params!$F$8,0),0)</f>
        <v>0</v>
      </c>
      <c r="R13" s="1" t="n">
        <f aca="false">IF(R7=1,IF(R6="Construction",R12*Delivery_Params!$F$8,0),0)</f>
        <v>0</v>
      </c>
      <c r="S13" s="1" t="n">
        <f aca="false">IF(S7=1,IF(S6="Construction",S12*Delivery_Params!$F$8,0),0)</f>
        <v>0</v>
      </c>
      <c r="T13" s="1" t="n">
        <f aca="false">IF(T7=1,IF(T6="Construction",T12*Delivery_Params!$F$8,0),0)</f>
        <v>0</v>
      </c>
      <c r="U13" s="1" t="n">
        <f aca="false">IF(U7=1,IF(U6="Construction",U12*Delivery_Params!$F$8,0),0)</f>
        <v>0</v>
      </c>
      <c r="V13" s="1" t="n">
        <f aca="false">IF(V7=1,IF(V6="Construction",V12*Delivery_Params!$F$8,0),0)</f>
        <v>0</v>
      </c>
      <c r="W13" s="1" t="n">
        <f aca="false">IF(W7=1,IF(W6="Construction",W12*Delivery_Params!$F$8,0),0)</f>
        <v>0</v>
      </c>
      <c r="X13" s="1" t="n">
        <f aca="false">IF(X7=1,IF(X6="Construction",X12*Delivery_Params!$F$8,0),0)</f>
        <v>0</v>
      </c>
      <c r="Y13" s="1" t="n">
        <f aca="false">IF(Y7=1,IF(Y6="Construction",Y12*Delivery_Params!$F$8,0),0)</f>
        <v>0</v>
      </c>
      <c r="Z13" s="1" t="n">
        <f aca="false">IF(Z7=1,IF(Z6="Construction",Z12*Delivery_Params!$F$8,0),0)</f>
        <v>0</v>
      </c>
      <c r="AA13" s="1" t="n">
        <f aca="false">IF(AA7=1,IF(AA6="Construction",AA12*Delivery_Params!$F$8,0),0)</f>
        <v>0</v>
      </c>
      <c r="AB13" s="1" t="n">
        <f aca="false">IF(AB7=1,IF(AB6="Construction",AB12*Delivery_Params!$F$8,0),0)</f>
        <v>0</v>
      </c>
      <c r="AC13" s="1" t="n">
        <f aca="false">IF(AC7=1,IF(AC6="Construction",AC12*Delivery_Params!$F$8,0),0)</f>
        <v>0</v>
      </c>
      <c r="AD13" s="1" t="n">
        <f aca="false">IF(AD7=1,IF(AD6="Construction",AD12*Delivery_Params!$F$8,0),0)</f>
        <v>0</v>
      </c>
      <c r="AE13" s="1" t="n">
        <f aca="false">IF(AE7=1,IF(AE6="Construction",AE12*Delivery_Params!$F$8,0),0)</f>
        <v>0</v>
      </c>
      <c r="AF13" s="1" t="n">
        <f aca="false">IF(AF7=1,IF(AF6="Construction",AF12*Delivery_Params!$F$8,0),0)</f>
        <v>0</v>
      </c>
      <c r="AG13" s="1" t="n">
        <f aca="false">IF(AG7=1,IF(AG6="Construction",AG12*Delivery_Params!$F$8,0),0)</f>
        <v>0</v>
      </c>
      <c r="AH13" s="1" t="n">
        <f aca="false">IF(AH7=1,IF(AH6="Construction",AH12*Delivery_Params!$F$8,0),0)</f>
        <v>0</v>
      </c>
      <c r="AI13" s="1" t="n">
        <f aca="false">IF(AI7=1,IF(AI6="Construction",AI12*Delivery_Params!$F$8,0),0)</f>
        <v>0</v>
      </c>
      <c r="AJ13" s="1" t="n">
        <f aca="false">IF(AJ7=1,IF(AJ6="Construction",AJ12*Delivery_Params!$F$8,0),0)</f>
        <v>0</v>
      </c>
    </row>
    <row r="14" customFormat="false" ht="15" hidden="false" customHeight="true" outlineLevel="0" collapsed="false">
      <c r="B14" s="1" t="s">
        <v>260</v>
      </c>
      <c r="C14" s="1" t="n">
        <f aca="false">IF(C7=1,IF(C6="Construction",C12*Delivery_Params!$F$9,0),0)</f>
        <v>29.4</v>
      </c>
      <c r="D14" s="1" t="n">
        <f aca="false">IF(D7=1,IF(D6="Construction",D12*Delivery_Params!$F$9,0),0)</f>
        <v>0.0124656</v>
      </c>
      <c r="E14" s="1" t="n">
        <f aca="false">IF(E7=1,IF(E6="Construction",E12*Delivery_Params!$F$9,0),0)</f>
        <v>0</v>
      </c>
      <c r="F14" s="1" t="n">
        <f aca="false">IF(F7=1,IF(F6="Construction",F12*Delivery_Params!$F$9,0),0)</f>
        <v>0</v>
      </c>
      <c r="G14" s="1" t="n">
        <f aca="false">IF(G7=1,IF(G6="Construction",G12*Delivery_Params!$F$9,0),0)</f>
        <v>0</v>
      </c>
      <c r="H14" s="1" t="n">
        <f aca="false">IF(H7=1,IF(H6="Construction",H12*Delivery_Params!$F$9,0),0)</f>
        <v>0</v>
      </c>
      <c r="I14" s="1" t="n">
        <f aca="false">IF(I7=1,IF(I6="Construction",I12*Delivery_Params!$F$9,0),0)</f>
        <v>0</v>
      </c>
      <c r="J14" s="1" t="n">
        <f aca="false">IF(J7=1,IF(J6="Construction",J12*Delivery_Params!$F$9,0),0)</f>
        <v>0</v>
      </c>
      <c r="K14" s="1" t="n">
        <f aca="false">IF(K7=1,IF(K6="Construction",K12*Delivery_Params!$F$9,0),0)</f>
        <v>0</v>
      </c>
      <c r="L14" s="1" t="n">
        <f aca="false">IF(L7=1,IF(L6="Construction",L12*Delivery_Params!$F$9,0),0)</f>
        <v>0</v>
      </c>
      <c r="M14" s="1" t="n">
        <f aca="false">IF(M7=1,IF(M6="Construction",M12*Delivery_Params!$F$9,0),0)</f>
        <v>0</v>
      </c>
      <c r="N14" s="1" t="n">
        <f aca="false">IF(N7=1,IF(N6="Construction",N12*Delivery_Params!$F$9,0),0)</f>
        <v>0</v>
      </c>
      <c r="O14" s="1" t="n">
        <f aca="false">IF(O7=1,IF(O6="Construction",O12*Delivery_Params!$F$9,0),0)</f>
        <v>0</v>
      </c>
      <c r="P14" s="1" t="n">
        <f aca="false">IF(P7=1,IF(P6="Construction",P12*Delivery_Params!$F$9,0),0)</f>
        <v>0</v>
      </c>
      <c r="Q14" s="1" t="n">
        <f aca="false">IF(Q7=1,IF(Q6="Construction",Q12*Delivery_Params!$F$9,0),0)</f>
        <v>0</v>
      </c>
      <c r="R14" s="1" t="n">
        <f aca="false">IF(R7=1,IF(R6="Construction",R12*Delivery_Params!$F$9,0),0)</f>
        <v>0</v>
      </c>
      <c r="S14" s="1" t="n">
        <f aca="false">IF(S7=1,IF(S6="Construction",S12*Delivery_Params!$F$9,0),0)</f>
        <v>0</v>
      </c>
      <c r="T14" s="1" t="n">
        <f aca="false">IF(T7=1,IF(T6="Construction",T12*Delivery_Params!$F$9,0),0)</f>
        <v>0</v>
      </c>
      <c r="U14" s="1" t="n">
        <f aca="false">IF(U7=1,IF(U6="Construction",U12*Delivery_Params!$F$9,0),0)</f>
        <v>0</v>
      </c>
      <c r="V14" s="1" t="n">
        <f aca="false">IF(V7=1,IF(V6="Construction",V12*Delivery_Params!$F$9,0),0)</f>
        <v>0</v>
      </c>
      <c r="W14" s="1" t="n">
        <f aca="false">IF(W7=1,IF(W6="Construction",W12*Delivery_Params!$F$9,0),0)</f>
        <v>0</v>
      </c>
      <c r="X14" s="1" t="n">
        <f aca="false">IF(X7=1,IF(X6="Construction",X12*Delivery_Params!$F$9,0),0)</f>
        <v>0</v>
      </c>
      <c r="Y14" s="1" t="n">
        <f aca="false">IF(Y7=1,IF(Y6="Construction",Y12*Delivery_Params!$F$9,0),0)</f>
        <v>0</v>
      </c>
      <c r="Z14" s="1" t="n">
        <f aca="false">IF(Z7=1,IF(Z6="Construction",Z12*Delivery_Params!$F$9,0),0)</f>
        <v>0</v>
      </c>
      <c r="AA14" s="1" t="n">
        <f aca="false">IF(AA7=1,IF(AA6="Construction",AA12*Delivery_Params!$F$9,0),0)</f>
        <v>0</v>
      </c>
      <c r="AB14" s="1" t="n">
        <f aca="false">IF(AB7=1,IF(AB6="Construction",AB12*Delivery_Params!$F$9,0),0)</f>
        <v>0</v>
      </c>
      <c r="AC14" s="1" t="n">
        <f aca="false">IF(AC7=1,IF(AC6="Construction",AC12*Delivery_Params!$F$9,0),0)</f>
        <v>0</v>
      </c>
      <c r="AD14" s="1" t="n">
        <f aca="false">IF(AD7=1,IF(AD6="Construction",AD12*Delivery_Params!$F$9,0),0)</f>
        <v>0</v>
      </c>
      <c r="AE14" s="1" t="n">
        <f aca="false">IF(AE7=1,IF(AE6="Construction",AE12*Delivery_Params!$F$9,0),0)</f>
        <v>0</v>
      </c>
      <c r="AF14" s="1" t="n">
        <f aca="false">IF(AF7=1,IF(AF6="Construction",AF12*Delivery_Params!$F$9,0),0)</f>
        <v>0</v>
      </c>
      <c r="AG14" s="1" t="n">
        <f aca="false">IF(AG7=1,IF(AG6="Construction",AG12*Delivery_Params!$F$9,0),0)</f>
        <v>0</v>
      </c>
      <c r="AH14" s="1" t="n">
        <f aca="false">IF(AH7=1,IF(AH6="Construction",AH12*Delivery_Params!$F$9,0),0)</f>
        <v>0</v>
      </c>
      <c r="AI14" s="1" t="n">
        <f aca="false">IF(AI7=1,IF(AI6="Construction",AI12*Delivery_Params!$F$9,0),0)</f>
        <v>0</v>
      </c>
      <c r="AJ14" s="1" t="n">
        <f aca="false">IF(AJ7=1,IF(AJ6="Construction",AJ12*Delivery_Params!$F$9,0),0)</f>
        <v>0</v>
      </c>
    </row>
    <row r="15" customFormat="false" ht="15" hidden="false" customHeight="true" outlineLevel="0" collapsed="false">
      <c r="B15" s="1" t="s">
        <v>261</v>
      </c>
      <c r="C15" s="1" t="n">
        <f aca="false">IF(C7=1,IF(C6="Construction",C12*Delivery_Params!$F$10,0),0)</f>
        <v>14.7</v>
      </c>
      <c r="D15" s="1" t="n">
        <f aca="false">IF(D7=1,IF(D6="Construction",D12*Delivery_Params!$F$10,0),0)</f>
        <v>0.0062328</v>
      </c>
      <c r="E15" s="1" t="n">
        <f aca="false">IF(E7=1,IF(E6="Construction",E12*Delivery_Params!$F$10,0),0)</f>
        <v>0</v>
      </c>
      <c r="F15" s="1" t="n">
        <f aca="false">IF(F7=1,IF(F6="Construction",F12*Delivery_Params!$F$10,0),0)</f>
        <v>0</v>
      </c>
      <c r="G15" s="1" t="n">
        <f aca="false">IF(G7=1,IF(G6="Construction",G12*Delivery_Params!$F$10,0),0)</f>
        <v>0</v>
      </c>
      <c r="H15" s="1" t="n">
        <f aca="false">IF(H7=1,IF(H6="Construction",H12*Delivery_Params!$F$10,0),0)</f>
        <v>0</v>
      </c>
      <c r="I15" s="1" t="n">
        <f aca="false">IF(I7=1,IF(I6="Construction",I12*Delivery_Params!$F$10,0),0)</f>
        <v>0</v>
      </c>
      <c r="J15" s="1" t="n">
        <f aca="false">IF(J7=1,IF(J6="Construction",J12*Delivery_Params!$F$10,0),0)</f>
        <v>0</v>
      </c>
      <c r="K15" s="1" t="n">
        <f aca="false">IF(K7=1,IF(K6="Construction",K12*Delivery_Params!$F$10,0),0)</f>
        <v>0</v>
      </c>
      <c r="L15" s="1" t="n">
        <f aca="false">IF(L7=1,IF(L6="Construction",L12*Delivery_Params!$F$10,0),0)</f>
        <v>0</v>
      </c>
      <c r="M15" s="1" t="n">
        <f aca="false">IF(M7=1,IF(M6="Construction",M12*Delivery_Params!$F$10,0),0)</f>
        <v>0</v>
      </c>
      <c r="N15" s="1" t="n">
        <f aca="false">IF(N7=1,IF(N6="Construction",N12*Delivery_Params!$F$10,0),0)</f>
        <v>0</v>
      </c>
      <c r="O15" s="1" t="n">
        <f aca="false">IF(O7=1,IF(O6="Construction",O12*Delivery_Params!$F$10,0),0)</f>
        <v>0</v>
      </c>
      <c r="P15" s="1" t="n">
        <f aca="false">IF(P7=1,IF(P6="Construction",P12*Delivery_Params!$F$10,0),0)</f>
        <v>0</v>
      </c>
      <c r="Q15" s="1" t="n">
        <f aca="false">IF(Q7=1,IF(Q6="Construction",Q12*Delivery_Params!$F$10,0),0)</f>
        <v>0</v>
      </c>
      <c r="R15" s="1" t="n">
        <f aca="false">IF(R7=1,IF(R6="Construction",R12*Delivery_Params!$F$10,0),0)</f>
        <v>0</v>
      </c>
      <c r="S15" s="1" t="n">
        <f aca="false">IF(S7=1,IF(S6="Construction",S12*Delivery_Params!$F$10,0),0)</f>
        <v>0</v>
      </c>
      <c r="T15" s="1" t="n">
        <f aca="false">IF(T7=1,IF(T6="Construction",T12*Delivery_Params!$F$10,0),0)</f>
        <v>0</v>
      </c>
      <c r="U15" s="1" t="n">
        <f aca="false">IF(U7=1,IF(U6="Construction",U12*Delivery_Params!$F$10,0),0)</f>
        <v>0</v>
      </c>
      <c r="V15" s="1" t="n">
        <f aca="false">IF(V7=1,IF(V6="Construction",V12*Delivery_Params!$F$10,0),0)</f>
        <v>0</v>
      </c>
      <c r="W15" s="1" t="n">
        <f aca="false">IF(W7=1,IF(W6="Construction",W12*Delivery_Params!$F$10,0),0)</f>
        <v>0</v>
      </c>
      <c r="X15" s="1" t="n">
        <f aca="false">IF(X7=1,IF(X6="Construction",X12*Delivery_Params!$F$10,0),0)</f>
        <v>0</v>
      </c>
      <c r="Y15" s="1" t="n">
        <f aca="false">IF(Y7=1,IF(Y6="Construction",Y12*Delivery_Params!$F$10,0),0)</f>
        <v>0</v>
      </c>
      <c r="Z15" s="1" t="n">
        <f aca="false">IF(Z7=1,IF(Z6="Construction",Z12*Delivery_Params!$F$10,0),0)</f>
        <v>0</v>
      </c>
      <c r="AA15" s="1" t="n">
        <f aca="false">IF(AA7=1,IF(AA6="Construction",AA12*Delivery_Params!$F$10,0),0)</f>
        <v>0</v>
      </c>
      <c r="AB15" s="1" t="n">
        <f aca="false">IF(AB7=1,IF(AB6="Construction",AB12*Delivery_Params!$F$10,0),0)</f>
        <v>0</v>
      </c>
      <c r="AC15" s="1" t="n">
        <f aca="false">IF(AC7=1,IF(AC6="Construction",AC12*Delivery_Params!$F$10,0),0)</f>
        <v>0</v>
      </c>
      <c r="AD15" s="1" t="n">
        <f aca="false">IF(AD7=1,IF(AD6="Construction",AD12*Delivery_Params!$F$10,0),0)</f>
        <v>0</v>
      </c>
      <c r="AE15" s="1" t="n">
        <f aca="false">IF(AE7=1,IF(AE6="Construction",AE12*Delivery_Params!$F$10,0),0)</f>
        <v>0</v>
      </c>
      <c r="AF15" s="1" t="n">
        <f aca="false">IF(AF7=1,IF(AF6="Construction",AF12*Delivery_Params!$F$10,0),0)</f>
        <v>0</v>
      </c>
      <c r="AG15" s="1" t="n">
        <f aca="false">IF(AG7=1,IF(AG6="Construction",AG12*Delivery_Params!$F$10,0),0)</f>
        <v>0</v>
      </c>
      <c r="AH15" s="1" t="n">
        <f aca="false">IF(AH7=1,IF(AH6="Construction",AH12*Delivery_Params!$F$10,0),0)</f>
        <v>0</v>
      </c>
      <c r="AI15" s="1" t="n">
        <f aca="false">IF(AI7=1,IF(AI6="Construction",AI12*Delivery_Params!$F$10,0),0)</f>
        <v>0</v>
      </c>
      <c r="AJ15" s="1" t="n">
        <f aca="false">IF(AJ7=1,IF(AJ6="Construction",AJ12*Delivery_Params!$F$10,0),0)</f>
        <v>0</v>
      </c>
    </row>
    <row r="16" customFormat="false" ht="15" hidden="false" customHeight="true" outlineLevel="0" collapsed="false">
      <c r="B16" s="20" t="s">
        <v>262</v>
      </c>
      <c r="C16" s="21" t="n">
        <f aca="false">IF(C7=1,C12+C13+C14+C15,0)</f>
        <v>463.05</v>
      </c>
      <c r="D16" s="21" t="n">
        <f aca="false">IF(D7=1,D12+D13+D14+D15,0)</f>
        <v>0.1963332</v>
      </c>
      <c r="E16" s="21" t="n">
        <f aca="false">IF(E7=1,E12+E13+E14+E15,0)</f>
        <v>0</v>
      </c>
      <c r="F16" s="21" t="n">
        <f aca="false">IF(F7=1,F12+F13+F14+F15,0)</f>
        <v>0</v>
      </c>
      <c r="G16" s="21" t="n">
        <f aca="false">IF(G7=1,G12+G13+G14+G15,0)</f>
        <v>0</v>
      </c>
      <c r="H16" s="21" t="n">
        <f aca="false">IF(H7=1,H12+H13+H14+H15,0)</f>
        <v>0</v>
      </c>
      <c r="I16" s="21" t="n">
        <f aca="false">IF(I7=1,I12+I13+I14+I15,0)</f>
        <v>0</v>
      </c>
      <c r="J16" s="21" t="n">
        <f aca="false">IF(J7=1,J12+J13+J14+J15,0)</f>
        <v>0</v>
      </c>
      <c r="K16" s="21" t="n">
        <f aca="false">IF(K7=1,K12+K13+K14+K15,0)</f>
        <v>0</v>
      </c>
      <c r="L16" s="21" t="n">
        <f aca="false">IF(L7=1,L12+L13+L14+L15,0)</f>
        <v>0</v>
      </c>
      <c r="M16" s="21" t="n">
        <f aca="false">IF(M7=1,M12+M13+M14+M15,0)</f>
        <v>0</v>
      </c>
      <c r="N16" s="21" t="n">
        <f aca="false">IF(N7=1,N12+N13+N14+N15,0)</f>
        <v>0</v>
      </c>
      <c r="O16" s="21" t="n">
        <f aca="false">IF(O7=1,O12+O13+O14+O15,0)</f>
        <v>0</v>
      </c>
      <c r="P16" s="21" t="n">
        <f aca="false">IF(P7=1,P12+P13+P14+P15,0)</f>
        <v>0</v>
      </c>
      <c r="Q16" s="21" t="n">
        <f aca="false">IF(Q7=1,Q12+Q13+Q14+Q15,0)</f>
        <v>0</v>
      </c>
      <c r="R16" s="21" t="n">
        <f aca="false">IF(R7=1,R12+R13+R14+R15,0)</f>
        <v>0</v>
      </c>
      <c r="S16" s="21" t="n">
        <f aca="false">IF(S7=1,S12+S13+S14+S15,0)</f>
        <v>0</v>
      </c>
      <c r="T16" s="21" t="n">
        <f aca="false">IF(T7=1,T12+T13+T14+T15,0)</f>
        <v>0</v>
      </c>
      <c r="U16" s="21" t="n">
        <f aca="false">IF(U7=1,U12+U13+U14+U15,0)</f>
        <v>0</v>
      </c>
      <c r="V16" s="21" t="n">
        <f aca="false">IF(V7=1,V12+V13+V14+V15,0)</f>
        <v>0</v>
      </c>
      <c r="W16" s="21" t="n">
        <f aca="false">IF(W7=1,W12+W13+W14+W15,0)</f>
        <v>0</v>
      </c>
      <c r="X16" s="21" t="n">
        <f aca="false">IF(X7=1,X12+X13+X14+X15,0)</f>
        <v>0</v>
      </c>
      <c r="Y16" s="21" t="n">
        <f aca="false">IF(Y7=1,Y12+Y13+Y14+Y15,0)</f>
        <v>0</v>
      </c>
      <c r="Z16" s="21" t="n">
        <f aca="false">IF(Z7=1,Z12+Z13+Z14+Z15,0)</f>
        <v>0</v>
      </c>
      <c r="AA16" s="21" t="n">
        <f aca="false">IF(AA7=1,AA12+AA13+AA14+AA15,0)</f>
        <v>0</v>
      </c>
      <c r="AB16" s="21" t="n">
        <f aca="false">IF(AB7=1,AB12+AB13+AB14+AB15,0)</f>
        <v>0</v>
      </c>
      <c r="AC16" s="21" t="n">
        <f aca="false">IF(AC7=1,AC12+AC13+AC14+AC15,0)</f>
        <v>0</v>
      </c>
      <c r="AD16" s="21" t="n">
        <f aca="false">IF(AD7=1,AD12+AD13+AD14+AD15,0)</f>
        <v>0</v>
      </c>
      <c r="AE16" s="21" t="n">
        <f aca="false">IF(AE7=1,AE12+AE13+AE14+AE15,0)</f>
        <v>0</v>
      </c>
      <c r="AF16" s="21" t="n">
        <f aca="false">IF(AF7=1,AF12+AF13+AF14+AF15,0)</f>
        <v>0</v>
      </c>
      <c r="AG16" s="21" t="n">
        <f aca="false">IF(AG7=1,AG12+AG13+AG14+AG15,0)</f>
        <v>0</v>
      </c>
      <c r="AH16" s="21" t="n">
        <f aca="false">IF(AH7=1,AH12+AH13+AH14+AH15,0)</f>
        <v>0</v>
      </c>
      <c r="AI16" s="21" t="n">
        <f aca="false">IF(AI7=1,AI12+AI13+AI14+AI15,0)</f>
        <v>0</v>
      </c>
      <c r="AJ16" s="21" t="n">
        <f aca="false">IF(AJ7=1,AJ12+AJ13+AJ14+AJ15,0)</f>
        <v>0</v>
      </c>
    </row>
    <row r="18" customFormat="false" ht="15" hidden="false" customHeight="true" outlineLevel="0" collapsed="false">
      <c r="B18" s="16" t="s">
        <v>263</v>
      </c>
    </row>
    <row r="19" customFormat="false" ht="15" hidden="false" customHeight="true" outlineLevel="0" collapsed="false">
      <c r="B19" s="1" t="s">
        <v>264</v>
      </c>
      <c r="C19" s="1" t="n">
        <f aca="false">IF(C7=1,IF(C6="Operating",Inputs_Master!$C$51*POWER(1+Inputs_Master!$C$19,C5-Inputs_Master!$C$8),0),0)</f>
        <v>0</v>
      </c>
      <c r="D19" s="1" t="n">
        <f aca="false">IF(D7=1,IF(D6="Operating",Inputs_Master!$C$51*POWER(1+Inputs_Master!$C$19,D5-Inputs_Master!$C$8),0),0)</f>
        <v>0</v>
      </c>
      <c r="E19" s="1" t="n">
        <f aca="false">IF(E7=1,IF(E6="Operating",Inputs_Master!$C$51*POWER(1+Inputs_Master!$C$19,E5-Inputs_Master!$C$8),0),0)</f>
        <v>0</v>
      </c>
      <c r="F19" s="1" t="e">
        <f aca="false">IF(F7=1,IF(F6="Operating",Inputs_Master!$C$51*POWER(1+Inputs_Master!$C$19,F5-Inputs_Master!$C$8),0),0)</f>
        <v>#N/A</v>
      </c>
      <c r="G19" s="1" t="e">
        <f aca="false">IF(G7=1,IF(G6="Operating",Inputs_Master!$C$51*POWER(1+Inputs_Master!$C$19,G5-Inputs_Master!$C$8),0),0)</f>
        <v>#N/A</v>
      </c>
      <c r="H19" s="1" t="e">
        <f aca="false">IF(H7=1,IF(H6="Operating",Inputs_Master!$C$51*POWER(1+Inputs_Master!$C$19,H5-Inputs_Master!$C$8),0),0)</f>
        <v>#N/A</v>
      </c>
      <c r="I19" s="1" t="e">
        <f aca="false">IF(I7=1,IF(I6="Operating",Inputs_Master!$C$51*POWER(1+Inputs_Master!$C$19,I5-Inputs_Master!$C$8),0),0)</f>
        <v>#N/A</v>
      </c>
      <c r="J19" s="1" t="e">
        <f aca="false">IF(J7=1,IF(J6="Operating",Inputs_Master!$C$51*POWER(1+Inputs_Master!$C$19,J5-Inputs_Master!$C$8),0),0)</f>
        <v>#N/A</v>
      </c>
      <c r="K19" s="1" t="e">
        <f aca="false">IF(K7=1,IF(K6="Operating",Inputs_Master!$C$51*POWER(1+Inputs_Master!$C$19,K5-Inputs_Master!$C$8),0),0)</f>
        <v>#N/A</v>
      </c>
      <c r="L19" s="1" t="e">
        <f aca="false">IF(L7=1,IF(L6="Operating",Inputs_Master!$C$51*POWER(1+Inputs_Master!$C$19,L5-Inputs_Master!$C$8),0),0)</f>
        <v>#N/A</v>
      </c>
      <c r="M19" s="1" t="e">
        <f aca="false">IF(M7=1,IF(M6="Operating",Inputs_Master!$C$51*POWER(1+Inputs_Master!$C$19,M5-Inputs_Master!$C$8),0),0)</f>
        <v>#N/A</v>
      </c>
      <c r="N19" s="1" t="e">
        <f aca="false">IF(N7=1,IF(N6="Operating",Inputs_Master!$C$51*POWER(1+Inputs_Master!$C$19,N5-Inputs_Master!$C$8),0),0)</f>
        <v>#N/A</v>
      </c>
      <c r="O19" s="1" t="e">
        <f aca="false">IF(O7=1,IF(O6="Operating",Inputs_Master!$C$51*POWER(1+Inputs_Master!$C$19,O5-Inputs_Master!$C$8),0),0)</f>
        <v>#N/A</v>
      </c>
      <c r="P19" s="1" t="e">
        <f aca="false">IF(P7=1,IF(P6="Operating",Inputs_Master!$C$51*POWER(1+Inputs_Master!$C$19,P5-Inputs_Master!$C$8),0),0)</f>
        <v>#N/A</v>
      </c>
      <c r="Q19" s="1" t="e">
        <f aca="false">IF(Q7=1,IF(Q6="Operating",Inputs_Master!$C$51*POWER(1+Inputs_Master!$C$19,Q5-Inputs_Master!$C$8),0),0)</f>
        <v>#N/A</v>
      </c>
      <c r="R19" s="1" t="e">
        <f aca="false">IF(R7=1,IF(R6="Operating",Inputs_Master!$C$51*POWER(1+Inputs_Master!$C$19,R5-Inputs_Master!$C$8),0),0)</f>
        <v>#N/A</v>
      </c>
      <c r="S19" s="1" t="e">
        <f aca="false">IF(S7=1,IF(S6="Operating",Inputs_Master!$C$51*POWER(1+Inputs_Master!$C$19,S5-Inputs_Master!$C$8),0),0)</f>
        <v>#N/A</v>
      </c>
      <c r="T19" s="1" t="e">
        <f aca="false">IF(T7=1,IF(T6="Operating",Inputs_Master!$C$51*POWER(1+Inputs_Master!$C$19,T5-Inputs_Master!$C$8),0),0)</f>
        <v>#N/A</v>
      </c>
      <c r="U19" s="1" t="e">
        <f aca="false">IF(U7=1,IF(U6="Operating",Inputs_Master!$C$51*POWER(1+Inputs_Master!$C$19,U5-Inputs_Master!$C$8),0),0)</f>
        <v>#N/A</v>
      </c>
      <c r="V19" s="1" t="e">
        <f aca="false">IF(V7=1,IF(V6="Operating",Inputs_Master!$C$51*POWER(1+Inputs_Master!$C$19,V5-Inputs_Master!$C$8),0),0)</f>
        <v>#N/A</v>
      </c>
      <c r="W19" s="1" t="e">
        <f aca="false">IF(W7=1,IF(W6="Operating",Inputs_Master!$C$51*POWER(1+Inputs_Master!$C$19,W5-Inputs_Master!$C$8),0),0)</f>
        <v>#N/A</v>
      </c>
      <c r="X19" s="1" t="e">
        <f aca="false">IF(X7=1,IF(X6="Operating",Inputs_Master!$C$51*POWER(1+Inputs_Master!$C$19,X5-Inputs_Master!$C$8),0),0)</f>
        <v>#N/A</v>
      </c>
      <c r="Y19" s="1" t="e">
        <f aca="false">IF(Y7=1,IF(Y6="Operating",Inputs_Master!$C$51*POWER(1+Inputs_Master!$C$19,Y5-Inputs_Master!$C$8),0),0)</f>
        <v>#N/A</v>
      </c>
      <c r="Z19" s="1" t="e">
        <f aca="false">IF(Z7=1,IF(Z6="Operating",Inputs_Master!$C$51*POWER(1+Inputs_Master!$C$19,Z5-Inputs_Master!$C$8),0),0)</f>
        <v>#N/A</v>
      </c>
      <c r="AA19" s="1" t="e">
        <f aca="false">IF(AA7=1,IF(AA6="Operating",Inputs_Master!$C$51*POWER(1+Inputs_Master!$C$19,AA5-Inputs_Master!$C$8),0),0)</f>
        <v>#N/A</v>
      </c>
      <c r="AB19" s="1" t="e">
        <f aca="false">IF(AB7=1,IF(AB6="Operating",Inputs_Master!$C$51*POWER(1+Inputs_Master!$C$19,AB5-Inputs_Master!$C$8),0),0)</f>
        <v>#N/A</v>
      </c>
      <c r="AC19" s="1" t="e">
        <f aca="false">IF(AC7=1,IF(AC6="Operating",Inputs_Master!$C$51*POWER(1+Inputs_Master!$C$19,AC5-Inputs_Master!$C$8),0),0)</f>
        <v>#N/A</v>
      </c>
      <c r="AD19" s="1" t="e">
        <f aca="false">IF(AD7=1,IF(AD6="Operating",Inputs_Master!$C$51*POWER(1+Inputs_Master!$C$19,AD5-Inputs_Master!$C$8),0),0)</f>
        <v>#N/A</v>
      </c>
      <c r="AE19" s="1" t="e">
        <f aca="false">IF(AE7=1,IF(AE6="Operating",Inputs_Master!$C$51*POWER(1+Inputs_Master!$C$19,AE5-Inputs_Master!$C$8),0),0)</f>
        <v>#N/A</v>
      </c>
      <c r="AF19" s="1" t="e">
        <f aca="false">IF(AF7=1,IF(AF6="Operating",Inputs_Master!$C$51*POWER(1+Inputs_Master!$C$19,AF5-Inputs_Master!$C$8),0),0)</f>
        <v>#N/A</v>
      </c>
      <c r="AG19" s="1" t="e">
        <f aca="false">IF(AG7=1,IF(AG6="Operating",Inputs_Master!$C$51*POWER(1+Inputs_Master!$C$19,AG5-Inputs_Master!$C$8),0),0)</f>
        <v>#N/A</v>
      </c>
      <c r="AH19" s="1" t="e">
        <f aca="false">IF(AH7=1,IF(AH6="Operating",Inputs_Master!$C$51*POWER(1+Inputs_Master!$C$19,AH5-Inputs_Master!$C$8),0),0)</f>
        <v>#N/A</v>
      </c>
      <c r="AI19" s="1" t="e">
        <f aca="false">IF(AI7=1,IF(AI6="Operating",Inputs_Master!$C$51*POWER(1+Inputs_Master!$C$19,AI5-Inputs_Master!$C$8),0),0)</f>
        <v>#N/A</v>
      </c>
      <c r="AJ19" s="1" t="e">
        <f aca="false">IF(AJ7=1,IF(AJ6="Operating",Inputs_Master!$C$51*POWER(1+Inputs_Master!$C$19,AJ5-Inputs_Master!$C$8),0),0)</f>
        <v>#N/A</v>
      </c>
    </row>
    <row r="20" customFormat="false" ht="15" hidden="false" customHeight="true" outlineLevel="0" collapsed="false">
      <c r="B20" s="1" t="s">
        <v>265</v>
      </c>
      <c r="C20" s="1" t="n">
        <f aca="false">IF(C7=1,IF(C6="Operating",Inputs_Master!$C$52*POWER(1+Inputs_Master!$C$19,C5-Inputs_Master!$C$8),0),0)</f>
        <v>0</v>
      </c>
      <c r="D20" s="1" t="n">
        <f aca="false">IF(D7=1,IF(D6="Operating",Inputs_Master!$C$52*POWER(1+Inputs_Master!$C$19,D5-Inputs_Master!$C$8),0),0)</f>
        <v>0</v>
      </c>
      <c r="E20" s="1" t="n">
        <f aca="false">IF(E7=1,IF(E6="Operating",Inputs_Master!$C$52*POWER(1+Inputs_Master!$C$19,E5-Inputs_Master!$C$8),0),0)</f>
        <v>0</v>
      </c>
      <c r="F20" s="1" t="e">
        <f aca="false">IF(F7=1,IF(F6="Operating",Inputs_Master!$C$52*POWER(1+Inputs_Master!$C$19,F5-Inputs_Master!$C$8),0),0)</f>
        <v>#N/A</v>
      </c>
      <c r="G20" s="1" t="e">
        <f aca="false">IF(G7=1,IF(G6="Operating",Inputs_Master!$C$52*POWER(1+Inputs_Master!$C$19,G5-Inputs_Master!$C$8),0),0)</f>
        <v>#N/A</v>
      </c>
      <c r="H20" s="1" t="e">
        <f aca="false">IF(H7=1,IF(H6="Operating",Inputs_Master!$C$52*POWER(1+Inputs_Master!$C$19,H5-Inputs_Master!$C$8),0),0)</f>
        <v>#N/A</v>
      </c>
      <c r="I20" s="1" t="e">
        <f aca="false">IF(I7=1,IF(I6="Operating",Inputs_Master!$C$52*POWER(1+Inputs_Master!$C$19,I5-Inputs_Master!$C$8),0),0)</f>
        <v>#N/A</v>
      </c>
      <c r="J20" s="1" t="e">
        <f aca="false">IF(J7=1,IF(J6="Operating",Inputs_Master!$C$52*POWER(1+Inputs_Master!$C$19,J5-Inputs_Master!$C$8),0),0)</f>
        <v>#N/A</v>
      </c>
      <c r="K20" s="1" t="e">
        <f aca="false">IF(K7=1,IF(K6="Operating",Inputs_Master!$C$52*POWER(1+Inputs_Master!$C$19,K5-Inputs_Master!$C$8),0),0)</f>
        <v>#N/A</v>
      </c>
      <c r="L20" s="1" t="e">
        <f aca="false">IF(L7=1,IF(L6="Operating",Inputs_Master!$C$52*POWER(1+Inputs_Master!$C$19,L5-Inputs_Master!$C$8),0),0)</f>
        <v>#N/A</v>
      </c>
      <c r="M20" s="1" t="e">
        <f aca="false">IF(M7=1,IF(M6="Operating",Inputs_Master!$C$52*POWER(1+Inputs_Master!$C$19,M5-Inputs_Master!$C$8),0),0)</f>
        <v>#N/A</v>
      </c>
      <c r="N20" s="1" t="e">
        <f aca="false">IF(N7=1,IF(N6="Operating",Inputs_Master!$C$52*POWER(1+Inputs_Master!$C$19,N5-Inputs_Master!$C$8),0),0)</f>
        <v>#N/A</v>
      </c>
      <c r="O20" s="1" t="e">
        <f aca="false">IF(O7=1,IF(O6="Operating",Inputs_Master!$C$52*POWER(1+Inputs_Master!$C$19,O5-Inputs_Master!$C$8),0),0)</f>
        <v>#N/A</v>
      </c>
      <c r="P20" s="1" t="e">
        <f aca="false">IF(P7=1,IF(P6="Operating",Inputs_Master!$C$52*POWER(1+Inputs_Master!$C$19,P5-Inputs_Master!$C$8),0),0)</f>
        <v>#N/A</v>
      </c>
      <c r="Q20" s="1" t="e">
        <f aca="false">IF(Q7=1,IF(Q6="Operating",Inputs_Master!$C$52*POWER(1+Inputs_Master!$C$19,Q5-Inputs_Master!$C$8),0),0)</f>
        <v>#N/A</v>
      </c>
      <c r="R20" s="1" t="e">
        <f aca="false">IF(R7=1,IF(R6="Operating",Inputs_Master!$C$52*POWER(1+Inputs_Master!$C$19,R5-Inputs_Master!$C$8),0),0)</f>
        <v>#N/A</v>
      </c>
      <c r="S20" s="1" t="e">
        <f aca="false">IF(S7=1,IF(S6="Operating",Inputs_Master!$C$52*POWER(1+Inputs_Master!$C$19,S5-Inputs_Master!$C$8),0),0)</f>
        <v>#N/A</v>
      </c>
      <c r="T20" s="1" t="e">
        <f aca="false">IF(T7=1,IF(T6="Operating",Inputs_Master!$C$52*POWER(1+Inputs_Master!$C$19,T5-Inputs_Master!$C$8),0),0)</f>
        <v>#N/A</v>
      </c>
      <c r="U20" s="1" t="e">
        <f aca="false">IF(U7=1,IF(U6="Operating",Inputs_Master!$C$52*POWER(1+Inputs_Master!$C$19,U5-Inputs_Master!$C$8),0),0)</f>
        <v>#N/A</v>
      </c>
      <c r="V20" s="1" t="e">
        <f aca="false">IF(V7=1,IF(V6="Operating",Inputs_Master!$C$52*POWER(1+Inputs_Master!$C$19,V5-Inputs_Master!$C$8),0),0)</f>
        <v>#N/A</v>
      </c>
      <c r="W20" s="1" t="e">
        <f aca="false">IF(W7=1,IF(W6="Operating",Inputs_Master!$C$52*POWER(1+Inputs_Master!$C$19,W5-Inputs_Master!$C$8),0),0)</f>
        <v>#N/A</v>
      </c>
      <c r="X20" s="1" t="e">
        <f aca="false">IF(X7=1,IF(X6="Operating",Inputs_Master!$C$52*POWER(1+Inputs_Master!$C$19,X5-Inputs_Master!$C$8),0),0)</f>
        <v>#N/A</v>
      </c>
      <c r="Y20" s="1" t="e">
        <f aca="false">IF(Y7=1,IF(Y6="Operating",Inputs_Master!$C$52*POWER(1+Inputs_Master!$C$19,Y5-Inputs_Master!$C$8),0),0)</f>
        <v>#N/A</v>
      </c>
      <c r="Z20" s="1" t="e">
        <f aca="false">IF(Z7=1,IF(Z6="Operating",Inputs_Master!$C$52*POWER(1+Inputs_Master!$C$19,Z5-Inputs_Master!$C$8),0),0)</f>
        <v>#N/A</v>
      </c>
      <c r="AA20" s="1" t="e">
        <f aca="false">IF(AA7=1,IF(AA6="Operating",Inputs_Master!$C$52*POWER(1+Inputs_Master!$C$19,AA5-Inputs_Master!$C$8),0),0)</f>
        <v>#N/A</v>
      </c>
      <c r="AB20" s="1" t="e">
        <f aca="false">IF(AB7=1,IF(AB6="Operating",Inputs_Master!$C$52*POWER(1+Inputs_Master!$C$19,AB5-Inputs_Master!$C$8),0),0)</f>
        <v>#N/A</v>
      </c>
      <c r="AC20" s="1" t="e">
        <f aca="false">IF(AC7=1,IF(AC6="Operating",Inputs_Master!$C$52*POWER(1+Inputs_Master!$C$19,AC5-Inputs_Master!$C$8),0),0)</f>
        <v>#N/A</v>
      </c>
      <c r="AD20" s="1" t="e">
        <f aca="false">IF(AD7=1,IF(AD6="Operating",Inputs_Master!$C$52*POWER(1+Inputs_Master!$C$19,AD5-Inputs_Master!$C$8),0),0)</f>
        <v>#N/A</v>
      </c>
      <c r="AE20" s="1" t="e">
        <f aca="false">IF(AE7=1,IF(AE6="Operating",Inputs_Master!$C$52*POWER(1+Inputs_Master!$C$19,AE5-Inputs_Master!$C$8),0),0)</f>
        <v>#N/A</v>
      </c>
      <c r="AF20" s="1" t="e">
        <f aca="false">IF(AF7=1,IF(AF6="Operating",Inputs_Master!$C$52*POWER(1+Inputs_Master!$C$19,AF5-Inputs_Master!$C$8),0),0)</f>
        <v>#N/A</v>
      </c>
      <c r="AG20" s="1" t="e">
        <f aca="false">IF(AG7=1,IF(AG6="Operating",Inputs_Master!$C$52*POWER(1+Inputs_Master!$C$19,AG5-Inputs_Master!$C$8),0),0)</f>
        <v>#N/A</v>
      </c>
      <c r="AH20" s="1" t="e">
        <f aca="false">IF(AH7=1,IF(AH6="Operating",Inputs_Master!$C$52*POWER(1+Inputs_Master!$C$19,AH5-Inputs_Master!$C$8),0),0)</f>
        <v>#N/A</v>
      </c>
      <c r="AI20" s="1" t="e">
        <f aca="false">IF(AI7=1,IF(AI6="Operating",Inputs_Master!$C$52*POWER(1+Inputs_Master!$C$19,AI5-Inputs_Master!$C$8),0),0)</f>
        <v>#N/A</v>
      </c>
      <c r="AJ20" s="1" t="e">
        <f aca="false">IF(AJ7=1,IF(AJ6="Operating",Inputs_Master!$C$52*POWER(1+Inputs_Master!$C$19,AJ5-Inputs_Master!$C$8),0),0)</f>
        <v>#N/A</v>
      </c>
    </row>
    <row r="21" customFormat="false" ht="15" hidden="false" customHeight="true" outlineLevel="0" collapsed="false">
      <c r="B21" s="1" t="s">
        <v>266</v>
      </c>
      <c r="C21" s="1" t="n">
        <f aca="false">IF(C7=1,IF(C6="Operating",Inputs_Master!$C$53*POWER(1+Inputs_Master!$C$19,C5-Inputs_Master!$C$8),0),0)</f>
        <v>0</v>
      </c>
      <c r="D21" s="1" t="n">
        <f aca="false">IF(D7=1,IF(D6="Operating",Inputs_Master!$C$53*POWER(1+Inputs_Master!$C$19,D5-Inputs_Master!$C$8),0),0)</f>
        <v>0</v>
      </c>
      <c r="E21" s="1" t="n">
        <f aca="false">IF(E7=1,IF(E6="Operating",Inputs_Master!$C$53*POWER(1+Inputs_Master!$C$19,E5-Inputs_Master!$C$8),0),0)</f>
        <v>0</v>
      </c>
      <c r="F21" s="1" t="e">
        <f aca="false">IF(F7=1,IF(F6="Operating",Inputs_Master!$C$53*POWER(1+Inputs_Master!$C$19,F5-Inputs_Master!$C$8),0),0)</f>
        <v>#N/A</v>
      </c>
      <c r="G21" s="1" t="e">
        <f aca="false">IF(G7=1,IF(G6="Operating",Inputs_Master!$C$53*POWER(1+Inputs_Master!$C$19,G5-Inputs_Master!$C$8),0),0)</f>
        <v>#N/A</v>
      </c>
      <c r="H21" s="1" t="e">
        <f aca="false">IF(H7=1,IF(H6="Operating",Inputs_Master!$C$53*POWER(1+Inputs_Master!$C$19,H5-Inputs_Master!$C$8),0),0)</f>
        <v>#N/A</v>
      </c>
      <c r="I21" s="1" t="e">
        <f aca="false">IF(I7=1,IF(I6="Operating",Inputs_Master!$C$53*POWER(1+Inputs_Master!$C$19,I5-Inputs_Master!$C$8),0),0)</f>
        <v>#N/A</v>
      </c>
      <c r="J21" s="1" t="e">
        <f aca="false">IF(J7=1,IF(J6="Operating",Inputs_Master!$C$53*POWER(1+Inputs_Master!$C$19,J5-Inputs_Master!$C$8),0),0)</f>
        <v>#N/A</v>
      </c>
      <c r="K21" s="1" t="e">
        <f aca="false">IF(K7=1,IF(K6="Operating",Inputs_Master!$C$53*POWER(1+Inputs_Master!$C$19,K5-Inputs_Master!$C$8),0),0)</f>
        <v>#N/A</v>
      </c>
      <c r="L21" s="1" t="e">
        <f aca="false">IF(L7=1,IF(L6="Operating",Inputs_Master!$C$53*POWER(1+Inputs_Master!$C$19,L5-Inputs_Master!$C$8),0),0)</f>
        <v>#N/A</v>
      </c>
      <c r="M21" s="1" t="e">
        <f aca="false">IF(M7=1,IF(M6="Operating",Inputs_Master!$C$53*POWER(1+Inputs_Master!$C$19,M5-Inputs_Master!$C$8),0),0)</f>
        <v>#N/A</v>
      </c>
      <c r="N21" s="1" t="e">
        <f aca="false">IF(N7=1,IF(N6="Operating",Inputs_Master!$C$53*POWER(1+Inputs_Master!$C$19,N5-Inputs_Master!$C$8),0),0)</f>
        <v>#N/A</v>
      </c>
      <c r="O21" s="1" t="e">
        <f aca="false">IF(O7=1,IF(O6="Operating",Inputs_Master!$C$53*POWER(1+Inputs_Master!$C$19,O5-Inputs_Master!$C$8),0),0)</f>
        <v>#N/A</v>
      </c>
      <c r="P21" s="1" t="e">
        <f aca="false">IF(P7=1,IF(P6="Operating",Inputs_Master!$C$53*POWER(1+Inputs_Master!$C$19,P5-Inputs_Master!$C$8),0),0)</f>
        <v>#N/A</v>
      </c>
      <c r="Q21" s="1" t="e">
        <f aca="false">IF(Q7=1,IF(Q6="Operating",Inputs_Master!$C$53*POWER(1+Inputs_Master!$C$19,Q5-Inputs_Master!$C$8),0),0)</f>
        <v>#N/A</v>
      </c>
      <c r="R21" s="1" t="e">
        <f aca="false">IF(R7=1,IF(R6="Operating",Inputs_Master!$C$53*POWER(1+Inputs_Master!$C$19,R5-Inputs_Master!$C$8),0),0)</f>
        <v>#N/A</v>
      </c>
      <c r="S21" s="1" t="e">
        <f aca="false">IF(S7=1,IF(S6="Operating",Inputs_Master!$C$53*POWER(1+Inputs_Master!$C$19,S5-Inputs_Master!$C$8),0),0)</f>
        <v>#N/A</v>
      </c>
      <c r="T21" s="1" t="e">
        <f aca="false">IF(T7=1,IF(T6="Operating",Inputs_Master!$C$53*POWER(1+Inputs_Master!$C$19,T5-Inputs_Master!$C$8),0),0)</f>
        <v>#N/A</v>
      </c>
      <c r="U21" s="1" t="e">
        <f aca="false">IF(U7=1,IF(U6="Operating",Inputs_Master!$C$53*POWER(1+Inputs_Master!$C$19,U5-Inputs_Master!$C$8),0),0)</f>
        <v>#N/A</v>
      </c>
      <c r="V21" s="1" t="e">
        <f aca="false">IF(V7=1,IF(V6="Operating",Inputs_Master!$C$53*POWER(1+Inputs_Master!$C$19,V5-Inputs_Master!$C$8),0),0)</f>
        <v>#N/A</v>
      </c>
      <c r="W21" s="1" t="e">
        <f aca="false">IF(W7=1,IF(W6="Operating",Inputs_Master!$C$53*POWER(1+Inputs_Master!$C$19,W5-Inputs_Master!$C$8),0),0)</f>
        <v>#N/A</v>
      </c>
      <c r="X21" s="1" t="e">
        <f aca="false">IF(X7=1,IF(X6="Operating",Inputs_Master!$C$53*POWER(1+Inputs_Master!$C$19,X5-Inputs_Master!$C$8),0),0)</f>
        <v>#N/A</v>
      </c>
      <c r="Y21" s="1" t="e">
        <f aca="false">IF(Y7=1,IF(Y6="Operating",Inputs_Master!$C$53*POWER(1+Inputs_Master!$C$19,Y5-Inputs_Master!$C$8),0),0)</f>
        <v>#N/A</v>
      </c>
      <c r="Z21" s="1" t="e">
        <f aca="false">IF(Z7=1,IF(Z6="Operating",Inputs_Master!$C$53*POWER(1+Inputs_Master!$C$19,Z5-Inputs_Master!$C$8),0),0)</f>
        <v>#N/A</v>
      </c>
      <c r="AA21" s="1" t="e">
        <f aca="false">IF(AA7=1,IF(AA6="Operating",Inputs_Master!$C$53*POWER(1+Inputs_Master!$C$19,AA5-Inputs_Master!$C$8),0),0)</f>
        <v>#N/A</v>
      </c>
      <c r="AB21" s="1" t="e">
        <f aca="false">IF(AB7=1,IF(AB6="Operating",Inputs_Master!$C$53*POWER(1+Inputs_Master!$C$19,AB5-Inputs_Master!$C$8),0),0)</f>
        <v>#N/A</v>
      </c>
      <c r="AC21" s="1" t="e">
        <f aca="false">IF(AC7=1,IF(AC6="Operating",Inputs_Master!$C$53*POWER(1+Inputs_Master!$C$19,AC5-Inputs_Master!$C$8),0),0)</f>
        <v>#N/A</v>
      </c>
      <c r="AD21" s="1" t="e">
        <f aca="false">IF(AD7=1,IF(AD6="Operating",Inputs_Master!$C$53*POWER(1+Inputs_Master!$C$19,AD5-Inputs_Master!$C$8),0),0)</f>
        <v>#N/A</v>
      </c>
      <c r="AE21" s="1" t="e">
        <f aca="false">IF(AE7=1,IF(AE6="Operating",Inputs_Master!$C$53*POWER(1+Inputs_Master!$C$19,AE5-Inputs_Master!$C$8),0),0)</f>
        <v>#N/A</v>
      </c>
      <c r="AF21" s="1" t="e">
        <f aca="false">IF(AF7=1,IF(AF6="Operating",Inputs_Master!$C$53*POWER(1+Inputs_Master!$C$19,AF5-Inputs_Master!$C$8),0),0)</f>
        <v>#N/A</v>
      </c>
      <c r="AG21" s="1" t="e">
        <f aca="false">IF(AG7=1,IF(AG6="Operating",Inputs_Master!$C$53*POWER(1+Inputs_Master!$C$19,AG5-Inputs_Master!$C$8),0),0)</f>
        <v>#N/A</v>
      </c>
      <c r="AH21" s="1" t="e">
        <f aca="false">IF(AH7=1,IF(AH6="Operating",Inputs_Master!$C$53*POWER(1+Inputs_Master!$C$19,AH5-Inputs_Master!$C$8),0),0)</f>
        <v>#N/A</v>
      </c>
      <c r="AI21" s="1" t="e">
        <f aca="false">IF(AI7=1,IF(AI6="Operating",Inputs_Master!$C$53*POWER(1+Inputs_Master!$C$19,AI5-Inputs_Master!$C$8),0),0)</f>
        <v>#N/A</v>
      </c>
      <c r="AJ21" s="1" t="e">
        <f aca="false">IF(AJ7=1,IF(AJ6="Operating",Inputs_Master!$C$53*POWER(1+Inputs_Master!$C$19,AJ5-Inputs_Master!$C$8),0),0)</f>
        <v>#N/A</v>
      </c>
    </row>
    <row r="22" customFormat="false" ht="15" hidden="false" customHeight="true" outlineLevel="0" collapsed="false">
      <c r="B22" s="1" t="s">
        <v>267</v>
      </c>
      <c r="C22" s="1" t="n">
        <f aca="false">IF(C7=1,IF(C6="Operating",Inputs_Master!$C$55*POWER(1+Inputs_Master!$C$19,C5-Inputs_Master!$C$8),0),0)</f>
        <v>0</v>
      </c>
      <c r="D22" s="1" t="n">
        <f aca="false">IF(D7=1,IF(D6="Operating",Inputs_Master!$C$55*POWER(1+Inputs_Master!$C$19,D5-Inputs_Master!$C$8),0),0)</f>
        <v>0</v>
      </c>
      <c r="E22" s="1" t="n">
        <f aca="false">IF(E7=1,IF(E6="Operating",Inputs_Master!$C$55*POWER(1+Inputs_Master!$C$19,E5-Inputs_Master!$C$8),0),0)</f>
        <v>0</v>
      </c>
      <c r="F22" s="1" t="e">
        <f aca="false">IF(F7=1,IF(F6="Operating",Inputs_Master!$C$55*POWER(1+Inputs_Master!$C$19,F5-Inputs_Master!$C$8),0),0)</f>
        <v>#N/A</v>
      </c>
      <c r="G22" s="1" t="e">
        <f aca="false">IF(G7=1,IF(G6="Operating",Inputs_Master!$C$55*POWER(1+Inputs_Master!$C$19,G5-Inputs_Master!$C$8),0),0)</f>
        <v>#N/A</v>
      </c>
      <c r="H22" s="1" t="e">
        <f aca="false">IF(H7=1,IF(H6="Operating",Inputs_Master!$C$55*POWER(1+Inputs_Master!$C$19,H5-Inputs_Master!$C$8),0),0)</f>
        <v>#N/A</v>
      </c>
      <c r="I22" s="1" t="e">
        <f aca="false">IF(I7=1,IF(I6="Operating",Inputs_Master!$C$55*POWER(1+Inputs_Master!$C$19,I5-Inputs_Master!$C$8),0),0)</f>
        <v>#N/A</v>
      </c>
      <c r="J22" s="1" t="e">
        <f aca="false">IF(J7=1,IF(J6="Operating",Inputs_Master!$C$55*POWER(1+Inputs_Master!$C$19,J5-Inputs_Master!$C$8),0),0)</f>
        <v>#N/A</v>
      </c>
      <c r="K22" s="1" t="e">
        <f aca="false">IF(K7=1,IF(K6="Operating",Inputs_Master!$C$55*POWER(1+Inputs_Master!$C$19,K5-Inputs_Master!$C$8),0),0)</f>
        <v>#N/A</v>
      </c>
      <c r="L22" s="1" t="e">
        <f aca="false">IF(L7=1,IF(L6="Operating",Inputs_Master!$C$55*POWER(1+Inputs_Master!$C$19,L5-Inputs_Master!$C$8),0),0)</f>
        <v>#N/A</v>
      </c>
      <c r="M22" s="1" t="e">
        <f aca="false">IF(M7=1,IF(M6="Operating",Inputs_Master!$C$55*POWER(1+Inputs_Master!$C$19,M5-Inputs_Master!$C$8),0),0)</f>
        <v>#N/A</v>
      </c>
      <c r="N22" s="1" t="e">
        <f aca="false">IF(N7=1,IF(N6="Operating",Inputs_Master!$C$55*POWER(1+Inputs_Master!$C$19,N5-Inputs_Master!$C$8),0),0)</f>
        <v>#N/A</v>
      </c>
      <c r="O22" s="1" t="e">
        <f aca="false">IF(O7=1,IF(O6="Operating",Inputs_Master!$C$55*POWER(1+Inputs_Master!$C$19,O5-Inputs_Master!$C$8),0),0)</f>
        <v>#N/A</v>
      </c>
      <c r="P22" s="1" t="e">
        <f aca="false">IF(P7=1,IF(P6="Operating",Inputs_Master!$C$55*POWER(1+Inputs_Master!$C$19,P5-Inputs_Master!$C$8),0),0)</f>
        <v>#N/A</v>
      </c>
      <c r="Q22" s="1" t="e">
        <f aca="false">IF(Q7=1,IF(Q6="Operating",Inputs_Master!$C$55*POWER(1+Inputs_Master!$C$19,Q5-Inputs_Master!$C$8),0),0)</f>
        <v>#N/A</v>
      </c>
      <c r="R22" s="1" t="e">
        <f aca="false">IF(R7=1,IF(R6="Operating",Inputs_Master!$C$55*POWER(1+Inputs_Master!$C$19,R5-Inputs_Master!$C$8),0),0)</f>
        <v>#N/A</v>
      </c>
      <c r="S22" s="1" t="e">
        <f aca="false">IF(S7=1,IF(S6="Operating",Inputs_Master!$C$55*POWER(1+Inputs_Master!$C$19,S5-Inputs_Master!$C$8),0),0)</f>
        <v>#N/A</v>
      </c>
      <c r="T22" s="1" t="e">
        <f aca="false">IF(T7=1,IF(T6="Operating",Inputs_Master!$C$55*POWER(1+Inputs_Master!$C$19,T5-Inputs_Master!$C$8),0),0)</f>
        <v>#N/A</v>
      </c>
      <c r="U22" s="1" t="e">
        <f aca="false">IF(U7=1,IF(U6="Operating",Inputs_Master!$C$55*POWER(1+Inputs_Master!$C$19,U5-Inputs_Master!$C$8),0),0)</f>
        <v>#N/A</v>
      </c>
      <c r="V22" s="1" t="e">
        <f aca="false">IF(V7=1,IF(V6="Operating",Inputs_Master!$C$55*POWER(1+Inputs_Master!$C$19,V5-Inputs_Master!$C$8),0),0)</f>
        <v>#N/A</v>
      </c>
      <c r="W22" s="1" t="e">
        <f aca="false">IF(W7=1,IF(W6="Operating",Inputs_Master!$C$55*POWER(1+Inputs_Master!$C$19,W5-Inputs_Master!$C$8),0),0)</f>
        <v>#N/A</v>
      </c>
      <c r="X22" s="1" t="e">
        <f aca="false">IF(X7=1,IF(X6="Operating",Inputs_Master!$C$55*POWER(1+Inputs_Master!$C$19,X5-Inputs_Master!$C$8),0),0)</f>
        <v>#N/A</v>
      </c>
      <c r="Y22" s="1" t="e">
        <f aca="false">IF(Y7=1,IF(Y6="Operating",Inputs_Master!$C$55*POWER(1+Inputs_Master!$C$19,Y5-Inputs_Master!$C$8),0),0)</f>
        <v>#N/A</v>
      </c>
      <c r="Z22" s="1" t="e">
        <f aca="false">IF(Z7=1,IF(Z6="Operating",Inputs_Master!$C$55*POWER(1+Inputs_Master!$C$19,Z5-Inputs_Master!$C$8),0),0)</f>
        <v>#N/A</v>
      </c>
      <c r="AA22" s="1" t="e">
        <f aca="false">IF(AA7=1,IF(AA6="Operating",Inputs_Master!$C$55*POWER(1+Inputs_Master!$C$19,AA5-Inputs_Master!$C$8),0),0)</f>
        <v>#N/A</v>
      </c>
      <c r="AB22" s="1" t="e">
        <f aca="false">IF(AB7=1,IF(AB6="Operating",Inputs_Master!$C$55*POWER(1+Inputs_Master!$C$19,AB5-Inputs_Master!$C$8),0),0)</f>
        <v>#N/A</v>
      </c>
      <c r="AC22" s="1" t="e">
        <f aca="false">IF(AC7=1,IF(AC6="Operating",Inputs_Master!$C$55*POWER(1+Inputs_Master!$C$19,AC5-Inputs_Master!$C$8),0),0)</f>
        <v>#N/A</v>
      </c>
      <c r="AD22" s="1" t="e">
        <f aca="false">IF(AD7=1,IF(AD6="Operating",Inputs_Master!$C$55*POWER(1+Inputs_Master!$C$19,AD5-Inputs_Master!$C$8),0),0)</f>
        <v>#N/A</v>
      </c>
      <c r="AE22" s="1" t="e">
        <f aca="false">IF(AE7=1,IF(AE6="Operating",Inputs_Master!$C$55*POWER(1+Inputs_Master!$C$19,AE5-Inputs_Master!$C$8),0),0)</f>
        <v>#N/A</v>
      </c>
      <c r="AF22" s="1" t="e">
        <f aca="false">IF(AF7=1,IF(AF6="Operating",Inputs_Master!$C$55*POWER(1+Inputs_Master!$C$19,AF5-Inputs_Master!$C$8),0),0)</f>
        <v>#N/A</v>
      </c>
      <c r="AG22" s="1" t="e">
        <f aca="false">IF(AG7=1,IF(AG6="Operating",Inputs_Master!$C$55*POWER(1+Inputs_Master!$C$19,AG5-Inputs_Master!$C$8),0),0)</f>
        <v>#N/A</v>
      </c>
      <c r="AH22" s="1" t="e">
        <f aca="false">IF(AH7=1,IF(AH6="Operating",Inputs_Master!$C$55*POWER(1+Inputs_Master!$C$19,AH5-Inputs_Master!$C$8),0),0)</f>
        <v>#N/A</v>
      </c>
      <c r="AI22" s="1" t="e">
        <f aca="false">IF(AI7=1,IF(AI6="Operating",Inputs_Master!$C$55*POWER(1+Inputs_Master!$C$19,AI5-Inputs_Master!$C$8),0),0)</f>
        <v>#N/A</v>
      </c>
      <c r="AJ22" s="1" t="e">
        <f aca="false">IF(AJ7=1,IF(AJ6="Operating",Inputs_Master!$C$55*POWER(1+Inputs_Master!$C$19,AJ5-Inputs_Master!$C$8),0),0)</f>
        <v>#N/A</v>
      </c>
    </row>
    <row r="23" customFormat="false" ht="15" hidden="false" customHeight="true" outlineLevel="0" collapsed="false">
      <c r="B23" s="1" t="s">
        <v>268</v>
      </c>
      <c r="C23" s="1" t="n">
        <f aca="false">IF(C7=1,IF(C6="Operating",Inputs_Master!$C$56*POWER(1+Inputs_Master!$C$19,C5-Inputs_Master!$C$8),0),0)</f>
        <v>0</v>
      </c>
      <c r="D23" s="1" t="n">
        <f aca="false">IF(D7=1,IF(D6="Operating",Inputs_Master!$C$56*POWER(1+Inputs_Master!$C$19,D5-Inputs_Master!$C$8),0),0)</f>
        <v>0</v>
      </c>
      <c r="E23" s="1" t="n">
        <f aca="false">IF(E7=1,IF(E6="Operating",Inputs_Master!$C$56*POWER(1+Inputs_Master!$C$19,E5-Inputs_Master!$C$8),0),0)</f>
        <v>0</v>
      </c>
      <c r="F23" s="1" t="e">
        <f aca="false">IF(F7=1,IF(F6="Operating",Inputs_Master!$C$56*POWER(1+Inputs_Master!$C$19,F5-Inputs_Master!$C$8),0),0)</f>
        <v>#N/A</v>
      </c>
      <c r="G23" s="1" t="e">
        <f aca="false">IF(G7=1,IF(G6="Operating",Inputs_Master!$C$56*POWER(1+Inputs_Master!$C$19,G5-Inputs_Master!$C$8),0),0)</f>
        <v>#N/A</v>
      </c>
      <c r="H23" s="1" t="e">
        <f aca="false">IF(H7=1,IF(H6="Operating",Inputs_Master!$C$56*POWER(1+Inputs_Master!$C$19,H5-Inputs_Master!$C$8),0),0)</f>
        <v>#N/A</v>
      </c>
      <c r="I23" s="1" t="e">
        <f aca="false">IF(I7=1,IF(I6="Operating",Inputs_Master!$C$56*POWER(1+Inputs_Master!$C$19,I5-Inputs_Master!$C$8),0),0)</f>
        <v>#N/A</v>
      </c>
      <c r="J23" s="1" t="e">
        <f aca="false">IF(J7=1,IF(J6="Operating",Inputs_Master!$C$56*POWER(1+Inputs_Master!$C$19,J5-Inputs_Master!$C$8),0),0)</f>
        <v>#N/A</v>
      </c>
      <c r="K23" s="1" t="e">
        <f aca="false">IF(K7=1,IF(K6="Operating",Inputs_Master!$C$56*POWER(1+Inputs_Master!$C$19,K5-Inputs_Master!$C$8),0),0)</f>
        <v>#N/A</v>
      </c>
      <c r="L23" s="1" t="e">
        <f aca="false">IF(L7=1,IF(L6="Operating",Inputs_Master!$C$56*POWER(1+Inputs_Master!$C$19,L5-Inputs_Master!$C$8),0),0)</f>
        <v>#N/A</v>
      </c>
      <c r="M23" s="1" t="e">
        <f aca="false">IF(M7=1,IF(M6="Operating",Inputs_Master!$C$56*POWER(1+Inputs_Master!$C$19,M5-Inputs_Master!$C$8),0),0)</f>
        <v>#N/A</v>
      </c>
      <c r="N23" s="1" t="e">
        <f aca="false">IF(N7=1,IF(N6="Operating",Inputs_Master!$C$56*POWER(1+Inputs_Master!$C$19,N5-Inputs_Master!$C$8),0),0)</f>
        <v>#N/A</v>
      </c>
      <c r="O23" s="1" t="e">
        <f aca="false">IF(O7=1,IF(O6="Operating",Inputs_Master!$C$56*POWER(1+Inputs_Master!$C$19,O5-Inputs_Master!$C$8),0),0)</f>
        <v>#N/A</v>
      </c>
      <c r="P23" s="1" t="e">
        <f aca="false">IF(P7=1,IF(P6="Operating",Inputs_Master!$C$56*POWER(1+Inputs_Master!$C$19,P5-Inputs_Master!$C$8),0),0)</f>
        <v>#N/A</v>
      </c>
      <c r="Q23" s="1" t="e">
        <f aca="false">IF(Q7=1,IF(Q6="Operating",Inputs_Master!$C$56*POWER(1+Inputs_Master!$C$19,Q5-Inputs_Master!$C$8),0),0)</f>
        <v>#N/A</v>
      </c>
      <c r="R23" s="1" t="e">
        <f aca="false">IF(R7=1,IF(R6="Operating",Inputs_Master!$C$56*POWER(1+Inputs_Master!$C$19,R5-Inputs_Master!$C$8),0),0)</f>
        <v>#N/A</v>
      </c>
      <c r="S23" s="1" t="e">
        <f aca="false">IF(S7=1,IF(S6="Operating",Inputs_Master!$C$56*POWER(1+Inputs_Master!$C$19,S5-Inputs_Master!$C$8),0),0)</f>
        <v>#N/A</v>
      </c>
      <c r="T23" s="1" t="e">
        <f aca="false">IF(T7=1,IF(T6="Operating",Inputs_Master!$C$56*POWER(1+Inputs_Master!$C$19,T5-Inputs_Master!$C$8),0),0)</f>
        <v>#N/A</v>
      </c>
      <c r="U23" s="1" t="e">
        <f aca="false">IF(U7=1,IF(U6="Operating",Inputs_Master!$C$56*POWER(1+Inputs_Master!$C$19,U5-Inputs_Master!$C$8),0),0)</f>
        <v>#N/A</v>
      </c>
      <c r="V23" s="1" t="e">
        <f aca="false">IF(V7=1,IF(V6="Operating",Inputs_Master!$C$56*POWER(1+Inputs_Master!$C$19,V5-Inputs_Master!$C$8),0),0)</f>
        <v>#N/A</v>
      </c>
      <c r="W23" s="1" t="e">
        <f aca="false">IF(W7=1,IF(W6="Operating",Inputs_Master!$C$56*POWER(1+Inputs_Master!$C$19,W5-Inputs_Master!$C$8),0),0)</f>
        <v>#N/A</v>
      </c>
      <c r="X23" s="1" t="e">
        <f aca="false">IF(X7=1,IF(X6="Operating",Inputs_Master!$C$56*POWER(1+Inputs_Master!$C$19,X5-Inputs_Master!$C$8),0),0)</f>
        <v>#N/A</v>
      </c>
      <c r="Y23" s="1" t="e">
        <f aca="false">IF(Y7=1,IF(Y6="Operating",Inputs_Master!$C$56*POWER(1+Inputs_Master!$C$19,Y5-Inputs_Master!$C$8),0),0)</f>
        <v>#N/A</v>
      </c>
      <c r="Z23" s="1" t="e">
        <f aca="false">IF(Z7=1,IF(Z6="Operating",Inputs_Master!$C$56*POWER(1+Inputs_Master!$C$19,Z5-Inputs_Master!$C$8),0),0)</f>
        <v>#N/A</v>
      </c>
      <c r="AA23" s="1" t="e">
        <f aca="false">IF(AA7=1,IF(AA6="Operating",Inputs_Master!$C$56*POWER(1+Inputs_Master!$C$19,AA5-Inputs_Master!$C$8),0),0)</f>
        <v>#N/A</v>
      </c>
      <c r="AB23" s="1" t="e">
        <f aca="false">IF(AB7=1,IF(AB6="Operating",Inputs_Master!$C$56*POWER(1+Inputs_Master!$C$19,AB5-Inputs_Master!$C$8),0),0)</f>
        <v>#N/A</v>
      </c>
      <c r="AC23" s="1" t="e">
        <f aca="false">IF(AC7=1,IF(AC6="Operating",Inputs_Master!$C$56*POWER(1+Inputs_Master!$C$19,AC5-Inputs_Master!$C$8),0),0)</f>
        <v>#N/A</v>
      </c>
      <c r="AD23" s="1" t="e">
        <f aca="false">IF(AD7=1,IF(AD6="Operating",Inputs_Master!$C$56*POWER(1+Inputs_Master!$C$19,AD5-Inputs_Master!$C$8),0),0)</f>
        <v>#N/A</v>
      </c>
      <c r="AE23" s="1" t="e">
        <f aca="false">IF(AE7=1,IF(AE6="Operating",Inputs_Master!$C$56*POWER(1+Inputs_Master!$C$19,AE5-Inputs_Master!$C$8),0),0)</f>
        <v>#N/A</v>
      </c>
      <c r="AF23" s="1" t="e">
        <f aca="false">IF(AF7=1,IF(AF6="Operating",Inputs_Master!$C$56*POWER(1+Inputs_Master!$C$19,AF5-Inputs_Master!$C$8),0),0)</f>
        <v>#N/A</v>
      </c>
      <c r="AG23" s="1" t="e">
        <f aca="false">IF(AG7=1,IF(AG6="Operating",Inputs_Master!$C$56*POWER(1+Inputs_Master!$C$19,AG5-Inputs_Master!$C$8),0),0)</f>
        <v>#N/A</v>
      </c>
      <c r="AH23" s="1" t="e">
        <f aca="false">IF(AH7=1,IF(AH6="Operating",Inputs_Master!$C$56*POWER(1+Inputs_Master!$C$19,AH5-Inputs_Master!$C$8),0),0)</f>
        <v>#N/A</v>
      </c>
      <c r="AI23" s="1" t="e">
        <f aca="false">IF(AI7=1,IF(AI6="Operating",Inputs_Master!$C$56*POWER(1+Inputs_Master!$C$19,AI5-Inputs_Master!$C$8),0),0)</f>
        <v>#N/A</v>
      </c>
      <c r="AJ23" s="1" t="e">
        <f aca="false">IF(AJ7=1,IF(AJ6="Operating",Inputs_Master!$C$56*POWER(1+Inputs_Master!$C$19,AJ5-Inputs_Master!$C$8),0),0)</f>
        <v>#N/A</v>
      </c>
    </row>
    <row r="24" customFormat="false" ht="15" hidden="false" customHeight="true" outlineLevel="0" collapsed="false">
      <c r="B24" s="1" t="s">
        <v>269</v>
      </c>
      <c r="C24" s="1" t="n">
        <f aca="false">IF(C7=1,IF(C6="Operating",Inputs_Master!$C$54*POWER(1+Inputs_Master!$C$19,C5-Inputs_Master!$C$8),0),0)</f>
        <v>0</v>
      </c>
      <c r="D24" s="1" t="n">
        <f aca="false">IF(D7=1,IF(D6="Operating",Inputs_Master!$C$54*POWER(1+Inputs_Master!$C$19,D5-Inputs_Master!$C$8),0),0)</f>
        <v>0</v>
      </c>
      <c r="E24" s="1" t="n">
        <f aca="false">IF(E7=1,IF(E6="Operating",Inputs_Master!$C$54*POWER(1+Inputs_Master!$C$19,E5-Inputs_Master!$C$8),0),0)</f>
        <v>0</v>
      </c>
      <c r="F24" s="1" t="e">
        <f aca="false">IF(F7=1,IF(F6="Operating",Inputs_Master!$C$54*POWER(1+Inputs_Master!$C$19,F5-Inputs_Master!$C$8),0),0)</f>
        <v>#N/A</v>
      </c>
      <c r="G24" s="1" t="e">
        <f aca="false">IF(G7=1,IF(G6="Operating",Inputs_Master!$C$54*POWER(1+Inputs_Master!$C$19,G5-Inputs_Master!$C$8),0),0)</f>
        <v>#N/A</v>
      </c>
      <c r="H24" s="1" t="e">
        <f aca="false">IF(H7=1,IF(H6="Operating",Inputs_Master!$C$54*POWER(1+Inputs_Master!$C$19,H5-Inputs_Master!$C$8),0),0)</f>
        <v>#N/A</v>
      </c>
      <c r="I24" s="1" t="e">
        <f aca="false">IF(I7=1,IF(I6="Operating",Inputs_Master!$C$54*POWER(1+Inputs_Master!$C$19,I5-Inputs_Master!$C$8),0),0)</f>
        <v>#N/A</v>
      </c>
      <c r="J24" s="1" t="e">
        <f aca="false">IF(J7=1,IF(J6="Operating",Inputs_Master!$C$54*POWER(1+Inputs_Master!$C$19,J5-Inputs_Master!$C$8),0),0)</f>
        <v>#N/A</v>
      </c>
      <c r="K24" s="1" t="e">
        <f aca="false">IF(K7=1,IF(K6="Operating",Inputs_Master!$C$54*POWER(1+Inputs_Master!$C$19,K5-Inputs_Master!$C$8),0),0)</f>
        <v>#N/A</v>
      </c>
      <c r="L24" s="1" t="e">
        <f aca="false">IF(L7=1,IF(L6="Operating",Inputs_Master!$C$54*POWER(1+Inputs_Master!$C$19,L5-Inputs_Master!$C$8),0),0)</f>
        <v>#N/A</v>
      </c>
      <c r="M24" s="1" t="e">
        <f aca="false">IF(M7=1,IF(M6="Operating",Inputs_Master!$C$54*POWER(1+Inputs_Master!$C$19,M5-Inputs_Master!$C$8),0),0)</f>
        <v>#N/A</v>
      </c>
      <c r="N24" s="1" t="e">
        <f aca="false">IF(N7=1,IF(N6="Operating",Inputs_Master!$C$54*POWER(1+Inputs_Master!$C$19,N5-Inputs_Master!$C$8),0),0)</f>
        <v>#N/A</v>
      </c>
      <c r="O24" s="1" t="e">
        <f aca="false">IF(O7=1,IF(O6="Operating",Inputs_Master!$C$54*POWER(1+Inputs_Master!$C$19,O5-Inputs_Master!$C$8),0),0)</f>
        <v>#N/A</v>
      </c>
      <c r="P24" s="1" t="e">
        <f aca="false">IF(P7=1,IF(P6="Operating",Inputs_Master!$C$54*POWER(1+Inputs_Master!$C$19,P5-Inputs_Master!$C$8),0),0)</f>
        <v>#N/A</v>
      </c>
      <c r="Q24" s="1" t="e">
        <f aca="false">IF(Q7=1,IF(Q6="Operating",Inputs_Master!$C$54*POWER(1+Inputs_Master!$C$19,Q5-Inputs_Master!$C$8),0),0)</f>
        <v>#N/A</v>
      </c>
      <c r="R24" s="1" t="e">
        <f aca="false">IF(R7=1,IF(R6="Operating",Inputs_Master!$C$54*POWER(1+Inputs_Master!$C$19,R5-Inputs_Master!$C$8),0),0)</f>
        <v>#N/A</v>
      </c>
      <c r="S24" s="1" t="e">
        <f aca="false">IF(S7=1,IF(S6="Operating",Inputs_Master!$C$54*POWER(1+Inputs_Master!$C$19,S5-Inputs_Master!$C$8),0),0)</f>
        <v>#N/A</v>
      </c>
      <c r="T24" s="1" t="e">
        <f aca="false">IF(T7=1,IF(T6="Operating",Inputs_Master!$C$54*POWER(1+Inputs_Master!$C$19,T5-Inputs_Master!$C$8),0),0)</f>
        <v>#N/A</v>
      </c>
      <c r="U24" s="1" t="e">
        <f aca="false">IF(U7=1,IF(U6="Operating",Inputs_Master!$C$54*POWER(1+Inputs_Master!$C$19,U5-Inputs_Master!$C$8),0),0)</f>
        <v>#N/A</v>
      </c>
      <c r="V24" s="1" t="e">
        <f aca="false">IF(V7=1,IF(V6="Operating",Inputs_Master!$C$54*POWER(1+Inputs_Master!$C$19,V5-Inputs_Master!$C$8),0),0)</f>
        <v>#N/A</v>
      </c>
      <c r="W24" s="1" t="e">
        <f aca="false">IF(W7=1,IF(W6="Operating",Inputs_Master!$C$54*POWER(1+Inputs_Master!$C$19,W5-Inputs_Master!$C$8),0),0)</f>
        <v>#N/A</v>
      </c>
      <c r="X24" s="1" t="e">
        <f aca="false">IF(X7=1,IF(X6="Operating",Inputs_Master!$C$54*POWER(1+Inputs_Master!$C$19,X5-Inputs_Master!$C$8),0),0)</f>
        <v>#N/A</v>
      </c>
      <c r="Y24" s="1" t="e">
        <f aca="false">IF(Y7=1,IF(Y6="Operating",Inputs_Master!$C$54*POWER(1+Inputs_Master!$C$19,Y5-Inputs_Master!$C$8),0),0)</f>
        <v>#N/A</v>
      </c>
      <c r="Z24" s="1" t="e">
        <f aca="false">IF(Z7=1,IF(Z6="Operating",Inputs_Master!$C$54*POWER(1+Inputs_Master!$C$19,Z5-Inputs_Master!$C$8),0),0)</f>
        <v>#N/A</v>
      </c>
      <c r="AA24" s="1" t="e">
        <f aca="false">IF(AA7=1,IF(AA6="Operating",Inputs_Master!$C$54*POWER(1+Inputs_Master!$C$19,AA5-Inputs_Master!$C$8),0),0)</f>
        <v>#N/A</v>
      </c>
      <c r="AB24" s="1" t="e">
        <f aca="false">IF(AB7=1,IF(AB6="Operating",Inputs_Master!$C$54*POWER(1+Inputs_Master!$C$19,AB5-Inputs_Master!$C$8),0),0)</f>
        <v>#N/A</v>
      </c>
      <c r="AC24" s="1" t="e">
        <f aca="false">IF(AC7=1,IF(AC6="Operating",Inputs_Master!$C$54*POWER(1+Inputs_Master!$C$19,AC5-Inputs_Master!$C$8),0),0)</f>
        <v>#N/A</v>
      </c>
      <c r="AD24" s="1" t="e">
        <f aca="false">IF(AD7=1,IF(AD6="Operating",Inputs_Master!$C$54*POWER(1+Inputs_Master!$C$19,AD5-Inputs_Master!$C$8),0),0)</f>
        <v>#N/A</v>
      </c>
      <c r="AE24" s="1" t="e">
        <f aca="false">IF(AE7=1,IF(AE6="Operating",Inputs_Master!$C$54*POWER(1+Inputs_Master!$C$19,AE5-Inputs_Master!$C$8),0),0)</f>
        <v>#N/A</v>
      </c>
      <c r="AF24" s="1" t="e">
        <f aca="false">IF(AF7=1,IF(AF6="Operating",Inputs_Master!$C$54*POWER(1+Inputs_Master!$C$19,AF5-Inputs_Master!$C$8),0),0)</f>
        <v>#N/A</v>
      </c>
      <c r="AG24" s="1" t="e">
        <f aca="false">IF(AG7=1,IF(AG6="Operating",Inputs_Master!$C$54*POWER(1+Inputs_Master!$C$19,AG5-Inputs_Master!$C$8),0),0)</f>
        <v>#N/A</v>
      </c>
      <c r="AH24" s="1" t="e">
        <f aca="false">IF(AH7=1,IF(AH6="Operating",Inputs_Master!$C$54*POWER(1+Inputs_Master!$C$19,AH5-Inputs_Master!$C$8),0),0)</f>
        <v>#N/A</v>
      </c>
      <c r="AI24" s="1" t="e">
        <f aca="false">IF(AI7=1,IF(AI6="Operating",Inputs_Master!$C$54*POWER(1+Inputs_Master!$C$19,AI5-Inputs_Master!$C$8),0),0)</f>
        <v>#N/A</v>
      </c>
      <c r="AJ24" s="1" t="e">
        <f aca="false">IF(AJ7=1,IF(AJ6="Operating",Inputs_Master!$C$54*POWER(1+Inputs_Master!$C$19,AJ5-Inputs_Master!$C$8),0),0)</f>
        <v>#N/A</v>
      </c>
    </row>
    <row r="25" customFormat="false" ht="15" hidden="false" customHeight="true" outlineLevel="0" collapsed="false">
      <c r="B25" s="1" t="s">
        <v>270</v>
      </c>
      <c r="C25" s="1" t="n">
        <f aca="false">IF(C7=1,Delivery_Params!$F$22*Delivery_Params!$F$23,0)</f>
        <v>0.6</v>
      </c>
      <c r="D25" s="1" t="n">
        <f aca="false">IF(D7=1,Delivery_Params!$F$22*Delivery_Params!$F$23,0)</f>
        <v>0.6</v>
      </c>
      <c r="E25" s="1" t="n">
        <f aca="false">IF(E7=1,Delivery_Params!$F$22*Delivery_Params!$F$23,0)</f>
        <v>0.6</v>
      </c>
      <c r="F25" s="1" t="n">
        <f aca="false">IF(F7=1,Delivery_Params!$F$22*Delivery_Params!$F$23,0)</f>
        <v>0.6</v>
      </c>
      <c r="G25" s="1" t="n">
        <f aca="false">IF(G7=1,Delivery_Params!$F$22*Delivery_Params!$F$23,0)</f>
        <v>0.6</v>
      </c>
      <c r="H25" s="1" t="n">
        <f aca="false">IF(H7=1,Delivery_Params!$F$22*Delivery_Params!$F$23,0)</f>
        <v>0.6</v>
      </c>
      <c r="I25" s="1" t="n">
        <f aca="false">IF(I7=1,Delivery_Params!$F$22*Delivery_Params!$F$23,0)</f>
        <v>0.6</v>
      </c>
      <c r="J25" s="1" t="n">
        <f aca="false">IF(J7=1,Delivery_Params!$F$22*Delivery_Params!$F$23,0)</f>
        <v>0.6</v>
      </c>
      <c r="K25" s="1" t="n">
        <f aca="false">IF(K7=1,Delivery_Params!$F$22*Delivery_Params!$F$23,0)</f>
        <v>0.6</v>
      </c>
      <c r="L25" s="1" t="n">
        <f aca="false">IF(L7=1,Delivery_Params!$F$22*Delivery_Params!$F$23,0)</f>
        <v>0.6</v>
      </c>
      <c r="M25" s="1" t="n">
        <f aca="false">IF(M7=1,Delivery_Params!$F$22*Delivery_Params!$F$23,0)</f>
        <v>0.6</v>
      </c>
      <c r="N25" s="1" t="n">
        <f aca="false">IF(N7=1,Delivery_Params!$F$22*Delivery_Params!$F$23,0)</f>
        <v>0.6</v>
      </c>
      <c r="O25" s="1" t="n">
        <f aca="false">IF(O7=1,Delivery_Params!$F$22*Delivery_Params!$F$23,0)</f>
        <v>0.6</v>
      </c>
      <c r="P25" s="1" t="n">
        <f aca="false">IF(P7=1,Delivery_Params!$F$22*Delivery_Params!$F$23,0)</f>
        <v>0.6</v>
      </c>
      <c r="Q25" s="1" t="n">
        <f aca="false">IF(Q7=1,Delivery_Params!$F$22*Delivery_Params!$F$23,0)</f>
        <v>0.6</v>
      </c>
      <c r="R25" s="1" t="n">
        <f aca="false">IF(R7=1,Delivery_Params!$F$22*Delivery_Params!$F$23,0)</f>
        <v>0.6</v>
      </c>
      <c r="S25" s="1" t="n">
        <f aca="false">IF(S7=1,Delivery_Params!$F$22*Delivery_Params!$F$23,0)</f>
        <v>0.6</v>
      </c>
      <c r="T25" s="1" t="n">
        <f aca="false">IF(T7=1,Delivery_Params!$F$22*Delivery_Params!$F$23,0)</f>
        <v>0.6</v>
      </c>
      <c r="U25" s="1" t="n">
        <f aca="false">IF(U7=1,Delivery_Params!$F$22*Delivery_Params!$F$23,0)</f>
        <v>0.6</v>
      </c>
      <c r="V25" s="1" t="n">
        <f aca="false">IF(V7=1,Delivery_Params!$F$22*Delivery_Params!$F$23,0)</f>
        <v>0.6</v>
      </c>
      <c r="W25" s="1" t="n">
        <f aca="false">IF(W7=1,Delivery_Params!$F$22*Delivery_Params!$F$23,0)</f>
        <v>0.6</v>
      </c>
      <c r="X25" s="1" t="n">
        <f aca="false">IF(X7=1,Delivery_Params!$F$22*Delivery_Params!$F$23,0)</f>
        <v>0.6</v>
      </c>
      <c r="Y25" s="1" t="n">
        <f aca="false">IF(Y7=1,Delivery_Params!$F$22*Delivery_Params!$F$23,0)</f>
        <v>0.6</v>
      </c>
      <c r="Z25" s="1" t="n">
        <f aca="false">IF(Z7=1,Delivery_Params!$F$22*Delivery_Params!$F$23,0)</f>
        <v>0.6</v>
      </c>
      <c r="AA25" s="1" t="n">
        <f aca="false">IF(AA7=1,Delivery_Params!$F$22*Delivery_Params!$F$23,0)</f>
        <v>0.6</v>
      </c>
      <c r="AB25" s="1" t="n">
        <f aca="false">IF(AB7=1,Delivery_Params!$F$22*Delivery_Params!$F$23,0)</f>
        <v>0.6</v>
      </c>
      <c r="AC25" s="1" t="n">
        <f aca="false">IF(AC7=1,Delivery_Params!$F$22*Delivery_Params!$F$23,0)</f>
        <v>0.6</v>
      </c>
      <c r="AD25" s="1" t="n">
        <f aca="false">IF(AD7=1,Delivery_Params!$F$22*Delivery_Params!$F$23,0)</f>
        <v>0.6</v>
      </c>
      <c r="AE25" s="1" t="n">
        <f aca="false">IF(AE7=1,Delivery_Params!$F$22*Delivery_Params!$F$23,0)</f>
        <v>0.6</v>
      </c>
      <c r="AF25" s="1" t="n">
        <f aca="false">IF(AF7=1,Delivery_Params!$F$22*Delivery_Params!$F$23,0)</f>
        <v>0.6</v>
      </c>
      <c r="AG25" s="1" t="n">
        <f aca="false">IF(AG7=1,Delivery_Params!$F$22*Delivery_Params!$F$23,0)</f>
        <v>0.6</v>
      </c>
      <c r="AH25" s="1" t="n">
        <f aca="false">IF(AH7=1,Delivery_Params!$F$22*Delivery_Params!$F$23,0)</f>
        <v>0.6</v>
      </c>
      <c r="AI25" s="1" t="n">
        <f aca="false">IF(AI7=1,Delivery_Params!$F$22*Delivery_Params!$F$23,0)</f>
        <v>0.6</v>
      </c>
      <c r="AJ25" s="1" t="n">
        <f aca="false">IF(AJ7=1,Delivery_Params!$F$22*Delivery_Params!$F$23,0)</f>
        <v>0.6</v>
      </c>
    </row>
    <row r="26" customFormat="false" ht="15" hidden="false" customHeight="true" outlineLevel="0" collapsed="false">
      <c r="B26" s="20" t="s">
        <v>271</v>
      </c>
      <c r="C26" s="21" t="n">
        <f aca="false">IF(C7=1,SUM(C19:C25),0)</f>
        <v>0.6</v>
      </c>
      <c r="D26" s="21" t="n">
        <f aca="false">IF(D7=1,SUM(D19:D25),0)</f>
        <v>0.6</v>
      </c>
      <c r="E26" s="21" t="n">
        <f aca="false">IF(E7=1,SUM(E19:E25),0)</f>
        <v>0.6</v>
      </c>
      <c r="F26" s="21" t="e">
        <f aca="false">IF(F7=1,SUM(F19:F25),0)</f>
        <v>#N/A</v>
      </c>
      <c r="G26" s="21" t="e">
        <f aca="false">IF(G7=1,SUM(G19:G25),0)</f>
        <v>#N/A</v>
      </c>
      <c r="H26" s="21" t="e">
        <f aca="false">IF(H7=1,SUM(H19:H25),0)</f>
        <v>#N/A</v>
      </c>
      <c r="I26" s="21" t="e">
        <f aca="false">IF(I7=1,SUM(I19:I25),0)</f>
        <v>#N/A</v>
      </c>
      <c r="J26" s="21" t="e">
        <f aca="false">IF(J7=1,SUM(J19:J25),0)</f>
        <v>#N/A</v>
      </c>
      <c r="K26" s="21" t="e">
        <f aca="false">IF(K7=1,SUM(K19:K25),0)</f>
        <v>#N/A</v>
      </c>
      <c r="L26" s="21" t="e">
        <f aca="false">IF(L7=1,SUM(L19:L25),0)</f>
        <v>#N/A</v>
      </c>
      <c r="M26" s="21" t="e">
        <f aca="false">IF(M7=1,SUM(M19:M25),0)</f>
        <v>#N/A</v>
      </c>
      <c r="N26" s="21" t="e">
        <f aca="false">IF(N7=1,SUM(N19:N25),0)</f>
        <v>#N/A</v>
      </c>
      <c r="O26" s="21" t="e">
        <f aca="false">IF(O7=1,SUM(O19:O25),0)</f>
        <v>#N/A</v>
      </c>
      <c r="P26" s="21" t="e">
        <f aca="false">IF(P7=1,SUM(P19:P25),0)</f>
        <v>#N/A</v>
      </c>
      <c r="Q26" s="21" t="e">
        <f aca="false">IF(Q7=1,SUM(Q19:Q25),0)</f>
        <v>#N/A</v>
      </c>
      <c r="R26" s="21" t="e">
        <f aca="false">IF(R7=1,SUM(R19:R25),0)</f>
        <v>#N/A</v>
      </c>
      <c r="S26" s="21" t="e">
        <f aca="false">IF(S7=1,SUM(S19:S25),0)</f>
        <v>#N/A</v>
      </c>
      <c r="T26" s="21" t="e">
        <f aca="false">IF(T7=1,SUM(T19:T25),0)</f>
        <v>#N/A</v>
      </c>
      <c r="U26" s="21" t="e">
        <f aca="false">IF(U7=1,SUM(U19:U25),0)</f>
        <v>#N/A</v>
      </c>
      <c r="V26" s="21" t="e">
        <f aca="false">IF(V7=1,SUM(V19:V25),0)</f>
        <v>#N/A</v>
      </c>
      <c r="W26" s="21" t="e">
        <f aca="false">IF(W7=1,SUM(W19:W25),0)</f>
        <v>#N/A</v>
      </c>
      <c r="X26" s="21" t="e">
        <f aca="false">IF(X7=1,SUM(X19:X25),0)</f>
        <v>#N/A</v>
      </c>
      <c r="Y26" s="21" t="e">
        <f aca="false">IF(Y7=1,SUM(Y19:Y25),0)</f>
        <v>#N/A</v>
      </c>
      <c r="Z26" s="21" t="e">
        <f aca="false">IF(Z7=1,SUM(Z19:Z25),0)</f>
        <v>#N/A</v>
      </c>
      <c r="AA26" s="21" t="e">
        <f aca="false">IF(AA7=1,SUM(AA19:AA25),0)</f>
        <v>#N/A</v>
      </c>
      <c r="AB26" s="21" t="e">
        <f aca="false">IF(AB7=1,SUM(AB19:AB25),0)</f>
        <v>#N/A</v>
      </c>
      <c r="AC26" s="21" t="e">
        <f aca="false">IF(AC7=1,SUM(AC19:AC25),0)</f>
        <v>#N/A</v>
      </c>
      <c r="AD26" s="21" t="e">
        <f aca="false">IF(AD7=1,SUM(AD19:AD25),0)</f>
        <v>#N/A</v>
      </c>
      <c r="AE26" s="21" t="e">
        <f aca="false">IF(AE7=1,SUM(AE19:AE25),0)</f>
        <v>#N/A</v>
      </c>
      <c r="AF26" s="21" t="e">
        <f aca="false">IF(AF7=1,SUM(AF19:AF25),0)</f>
        <v>#N/A</v>
      </c>
      <c r="AG26" s="21" t="e">
        <f aca="false">IF(AG7=1,SUM(AG19:AG25),0)</f>
        <v>#N/A</v>
      </c>
      <c r="AH26" s="21" t="e">
        <f aca="false">IF(AH7=1,SUM(AH19:AH25),0)</f>
        <v>#N/A</v>
      </c>
      <c r="AI26" s="21" t="e">
        <f aca="false">IF(AI7=1,SUM(AI19:AI25),0)</f>
        <v>#N/A</v>
      </c>
      <c r="AJ26" s="21" t="e">
        <f aca="false">IF(AJ7=1,SUM(AJ19:AJ25),0)</f>
        <v>#N/A</v>
      </c>
    </row>
    <row r="28" customFormat="false" ht="15" hidden="false" customHeight="true" outlineLevel="0" collapsed="false">
      <c r="B28" s="16" t="s">
        <v>272</v>
      </c>
    </row>
    <row r="29" customFormat="false" ht="15" hidden="false" customHeight="true" outlineLevel="0" collapsed="false">
      <c r="B29" s="1" t="s">
        <v>273</v>
      </c>
      <c r="C29" s="1" t="n">
        <f aca="false">IF(C7=1,IF(C6="Construction",(Risk_Register!$N$5+Risk_Register!$N$6)*Delivery_Params!$F$14/Inputs_Master!$C$8,0),0)</f>
        <v>8.05277777777778</v>
      </c>
      <c r="D29" s="1" t="n">
        <f aca="false">IF(D7=1,IF(D6="Construction",(Risk_Register!$N$5+Risk_Register!$N$6)*Delivery_Params!$F$14/Inputs_Master!$C$8,0),0)</f>
        <v>8.05277777777778</v>
      </c>
      <c r="E29" s="1" t="n">
        <f aca="false">IF(E7=1,IF(E6="Construction",(Risk_Register!$N$5+Risk_Register!$N$6)*Delivery_Params!$F$14/Inputs_Master!$C$8,0),0)</f>
        <v>8.05277777777778</v>
      </c>
      <c r="F29" s="1" t="n">
        <f aca="false">IF(F7=1,IF(F6="Construction",(Risk_Register!$N$5+Risk_Register!$N$6)*Delivery_Params!$F$14/Inputs_Master!$C$8,0),0)</f>
        <v>0</v>
      </c>
      <c r="G29" s="1" t="n">
        <f aca="false">IF(G7=1,IF(G6="Construction",(Risk_Register!$N$5+Risk_Register!$N$6)*Delivery_Params!$F$14/Inputs_Master!$C$8,0),0)</f>
        <v>0</v>
      </c>
      <c r="H29" s="1" t="n">
        <f aca="false">IF(H7=1,IF(H6="Construction",(Risk_Register!$N$5+Risk_Register!$N$6)*Delivery_Params!$F$14/Inputs_Master!$C$8,0),0)</f>
        <v>0</v>
      </c>
      <c r="I29" s="1" t="n">
        <f aca="false">IF(I7=1,IF(I6="Construction",(Risk_Register!$N$5+Risk_Register!$N$6)*Delivery_Params!$F$14/Inputs_Master!$C$8,0),0)</f>
        <v>0</v>
      </c>
      <c r="J29" s="1" t="n">
        <f aca="false">IF(J7=1,IF(J6="Construction",(Risk_Register!$N$5+Risk_Register!$N$6)*Delivery_Params!$F$14/Inputs_Master!$C$8,0),0)</f>
        <v>0</v>
      </c>
      <c r="K29" s="1" t="n">
        <f aca="false">IF(K7=1,IF(K6="Construction",(Risk_Register!$N$5+Risk_Register!$N$6)*Delivery_Params!$F$14/Inputs_Master!$C$8,0),0)</f>
        <v>0</v>
      </c>
      <c r="L29" s="1" t="n">
        <f aca="false">IF(L7=1,IF(L6="Construction",(Risk_Register!$N$5+Risk_Register!$N$6)*Delivery_Params!$F$14/Inputs_Master!$C$8,0),0)</f>
        <v>0</v>
      </c>
      <c r="M29" s="1" t="n">
        <f aca="false">IF(M7=1,IF(M6="Construction",(Risk_Register!$N$5+Risk_Register!$N$6)*Delivery_Params!$F$14/Inputs_Master!$C$8,0),0)</f>
        <v>0</v>
      </c>
      <c r="N29" s="1" t="n">
        <f aca="false">IF(N7=1,IF(N6="Construction",(Risk_Register!$N$5+Risk_Register!$N$6)*Delivery_Params!$F$14/Inputs_Master!$C$8,0),0)</f>
        <v>0</v>
      </c>
      <c r="O29" s="1" t="n">
        <f aca="false">IF(O7=1,IF(O6="Construction",(Risk_Register!$N$5+Risk_Register!$N$6)*Delivery_Params!$F$14/Inputs_Master!$C$8,0),0)</f>
        <v>0</v>
      </c>
      <c r="P29" s="1" t="n">
        <f aca="false">IF(P7=1,IF(P6="Construction",(Risk_Register!$N$5+Risk_Register!$N$6)*Delivery_Params!$F$14/Inputs_Master!$C$8,0),0)</f>
        <v>0</v>
      </c>
      <c r="Q29" s="1" t="n">
        <f aca="false">IF(Q7=1,IF(Q6="Construction",(Risk_Register!$N$5+Risk_Register!$N$6)*Delivery_Params!$F$14/Inputs_Master!$C$8,0),0)</f>
        <v>0</v>
      </c>
      <c r="R29" s="1" t="n">
        <f aca="false">IF(R7=1,IF(R6="Construction",(Risk_Register!$N$5+Risk_Register!$N$6)*Delivery_Params!$F$14/Inputs_Master!$C$8,0),0)</f>
        <v>0</v>
      </c>
      <c r="S29" s="1" t="n">
        <f aca="false">IF(S7=1,IF(S6="Construction",(Risk_Register!$N$5+Risk_Register!$N$6)*Delivery_Params!$F$14/Inputs_Master!$C$8,0),0)</f>
        <v>0</v>
      </c>
      <c r="T29" s="1" t="n">
        <f aca="false">IF(T7=1,IF(T6="Construction",(Risk_Register!$N$5+Risk_Register!$N$6)*Delivery_Params!$F$14/Inputs_Master!$C$8,0),0)</f>
        <v>0</v>
      </c>
      <c r="U29" s="1" t="n">
        <f aca="false">IF(U7=1,IF(U6="Construction",(Risk_Register!$N$5+Risk_Register!$N$6)*Delivery_Params!$F$14/Inputs_Master!$C$8,0),0)</f>
        <v>0</v>
      </c>
      <c r="V29" s="1" t="n">
        <f aca="false">IF(V7=1,IF(V6="Construction",(Risk_Register!$N$5+Risk_Register!$N$6)*Delivery_Params!$F$14/Inputs_Master!$C$8,0),0)</f>
        <v>0</v>
      </c>
      <c r="W29" s="1" t="n">
        <f aca="false">IF(W7=1,IF(W6="Construction",(Risk_Register!$N$5+Risk_Register!$N$6)*Delivery_Params!$F$14/Inputs_Master!$C$8,0),0)</f>
        <v>0</v>
      </c>
      <c r="X29" s="1" t="n">
        <f aca="false">IF(X7=1,IF(X6="Construction",(Risk_Register!$N$5+Risk_Register!$N$6)*Delivery_Params!$F$14/Inputs_Master!$C$8,0),0)</f>
        <v>0</v>
      </c>
      <c r="Y29" s="1" t="n">
        <f aca="false">IF(Y7=1,IF(Y6="Construction",(Risk_Register!$N$5+Risk_Register!$N$6)*Delivery_Params!$F$14/Inputs_Master!$C$8,0),0)</f>
        <v>0</v>
      </c>
      <c r="Z29" s="1" t="n">
        <f aca="false">IF(Z7=1,IF(Z6="Construction",(Risk_Register!$N$5+Risk_Register!$N$6)*Delivery_Params!$F$14/Inputs_Master!$C$8,0),0)</f>
        <v>0</v>
      </c>
      <c r="AA29" s="1" t="n">
        <f aca="false">IF(AA7=1,IF(AA6="Construction",(Risk_Register!$N$5+Risk_Register!$N$6)*Delivery_Params!$F$14/Inputs_Master!$C$8,0),0)</f>
        <v>0</v>
      </c>
      <c r="AB29" s="1" t="n">
        <f aca="false">IF(AB7=1,IF(AB6="Construction",(Risk_Register!$N$5+Risk_Register!$N$6)*Delivery_Params!$F$14/Inputs_Master!$C$8,0),0)</f>
        <v>0</v>
      </c>
      <c r="AC29" s="1" t="n">
        <f aca="false">IF(AC7=1,IF(AC6="Construction",(Risk_Register!$N$5+Risk_Register!$N$6)*Delivery_Params!$F$14/Inputs_Master!$C$8,0),0)</f>
        <v>0</v>
      </c>
      <c r="AD29" s="1" t="n">
        <f aca="false">IF(AD7=1,IF(AD6="Construction",(Risk_Register!$N$5+Risk_Register!$N$6)*Delivery_Params!$F$14/Inputs_Master!$C$8,0),0)</f>
        <v>0</v>
      </c>
      <c r="AE29" s="1" t="n">
        <f aca="false">IF(AE7=1,IF(AE6="Construction",(Risk_Register!$N$5+Risk_Register!$N$6)*Delivery_Params!$F$14/Inputs_Master!$C$8,0),0)</f>
        <v>0</v>
      </c>
      <c r="AF29" s="1" t="n">
        <f aca="false">IF(AF7=1,IF(AF6="Construction",(Risk_Register!$N$5+Risk_Register!$N$6)*Delivery_Params!$F$14/Inputs_Master!$C$8,0),0)</f>
        <v>0</v>
      </c>
      <c r="AG29" s="1" t="n">
        <f aca="false">IF(AG7=1,IF(AG6="Construction",(Risk_Register!$N$5+Risk_Register!$N$6)*Delivery_Params!$F$14/Inputs_Master!$C$8,0),0)</f>
        <v>0</v>
      </c>
      <c r="AH29" s="1" t="n">
        <f aca="false">IF(AH7=1,IF(AH6="Construction",(Risk_Register!$N$5+Risk_Register!$N$6)*Delivery_Params!$F$14/Inputs_Master!$C$8,0),0)</f>
        <v>0</v>
      </c>
      <c r="AI29" s="1" t="n">
        <f aca="false">IF(AI7=1,IF(AI6="Construction",(Risk_Register!$N$5+Risk_Register!$N$6)*Delivery_Params!$F$14/Inputs_Master!$C$8,0),0)</f>
        <v>0</v>
      </c>
      <c r="AJ29" s="1" t="n">
        <f aca="false">IF(AJ7=1,IF(AJ6="Construction",(Risk_Register!$N$5+Risk_Register!$N$6)*Delivery_Params!$F$14/Inputs_Master!$C$8,0),0)</f>
        <v>0</v>
      </c>
    </row>
    <row r="30" customFormat="false" ht="15" hidden="false" customHeight="true" outlineLevel="0" collapsed="false">
      <c r="B30" s="1" t="s">
        <v>274</v>
      </c>
      <c r="C30" s="1" t="n">
        <f aca="false">IF(C7=1,IF(C6="Operating",(Risk_Register!$N$7+Risk_Register!$N$8)*Delivery_Params!$F$17/Inputs_Master!$C$9,0),0)</f>
        <v>0</v>
      </c>
      <c r="D30" s="1" t="n">
        <f aca="false">IF(D7=1,IF(D6="Operating",(Risk_Register!$N$7+Risk_Register!$N$8)*Delivery_Params!$F$17/Inputs_Master!$C$9,0),0)</f>
        <v>0</v>
      </c>
      <c r="E30" s="1" t="n">
        <f aca="false">IF(E7=1,IF(E6="Operating",(Risk_Register!$N$7+Risk_Register!$N$8)*Delivery_Params!$F$17/Inputs_Master!$C$9,0),0)</f>
        <v>0</v>
      </c>
      <c r="F30" s="1" t="n">
        <f aca="false">IF(F7=1,IF(F6="Operating",(Risk_Register!$N$7+Risk_Register!$N$8)*Delivery_Params!$F$17/Inputs_Master!$C$9,0),0)</f>
        <v>0.347022222222222</v>
      </c>
      <c r="G30" s="1" t="n">
        <f aca="false">IF(G7=1,IF(G6="Operating",(Risk_Register!$N$7+Risk_Register!$N$8)*Delivery_Params!$F$17/Inputs_Master!$C$9,0),0)</f>
        <v>0.347022222222222</v>
      </c>
      <c r="H30" s="1" t="n">
        <f aca="false">IF(H7=1,IF(H6="Operating",(Risk_Register!$N$7+Risk_Register!$N$8)*Delivery_Params!$F$17/Inputs_Master!$C$9,0),0)</f>
        <v>0.347022222222222</v>
      </c>
      <c r="I30" s="1" t="n">
        <f aca="false">IF(I7=1,IF(I6="Operating",(Risk_Register!$N$7+Risk_Register!$N$8)*Delivery_Params!$F$17/Inputs_Master!$C$9,0),0)</f>
        <v>0.347022222222222</v>
      </c>
      <c r="J30" s="1" t="n">
        <f aca="false">IF(J7=1,IF(J6="Operating",(Risk_Register!$N$7+Risk_Register!$N$8)*Delivery_Params!$F$17/Inputs_Master!$C$9,0),0)</f>
        <v>0.347022222222222</v>
      </c>
      <c r="K30" s="1" t="n">
        <f aca="false">IF(K7=1,IF(K6="Operating",(Risk_Register!$N$7+Risk_Register!$N$8)*Delivery_Params!$F$17/Inputs_Master!$C$9,0),0)</f>
        <v>0.347022222222222</v>
      </c>
      <c r="L30" s="1" t="n">
        <f aca="false">IF(L7=1,IF(L6="Operating",(Risk_Register!$N$7+Risk_Register!$N$8)*Delivery_Params!$F$17/Inputs_Master!$C$9,0),0)</f>
        <v>0.347022222222222</v>
      </c>
      <c r="M30" s="1" t="n">
        <f aca="false">IF(M7=1,IF(M6="Operating",(Risk_Register!$N$7+Risk_Register!$N$8)*Delivery_Params!$F$17/Inputs_Master!$C$9,0),0)</f>
        <v>0.347022222222222</v>
      </c>
      <c r="N30" s="1" t="n">
        <f aca="false">IF(N7=1,IF(N6="Operating",(Risk_Register!$N$7+Risk_Register!$N$8)*Delivery_Params!$F$17/Inputs_Master!$C$9,0),0)</f>
        <v>0.347022222222222</v>
      </c>
      <c r="O30" s="1" t="n">
        <f aca="false">IF(O7=1,IF(O6="Operating",(Risk_Register!$N$7+Risk_Register!$N$8)*Delivery_Params!$F$17/Inputs_Master!$C$9,0),0)</f>
        <v>0.347022222222222</v>
      </c>
      <c r="P30" s="1" t="n">
        <f aca="false">IF(P7=1,IF(P6="Operating",(Risk_Register!$N$7+Risk_Register!$N$8)*Delivery_Params!$F$17/Inputs_Master!$C$9,0),0)</f>
        <v>0.347022222222222</v>
      </c>
      <c r="Q30" s="1" t="n">
        <f aca="false">IF(Q7=1,IF(Q6="Operating",(Risk_Register!$N$7+Risk_Register!$N$8)*Delivery_Params!$F$17/Inputs_Master!$C$9,0),0)</f>
        <v>0.347022222222222</v>
      </c>
      <c r="R30" s="1" t="n">
        <f aca="false">IF(R7=1,IF(R6="Operating",(Risk_Register!$N$7+Risk_Register!$N$8)*Delivery_Params!$F$17/Inputs_Master!$C$9,0),0)</f>
        <v>0.347022222222222</v>
      </c>
      <c r="S30" s="1" t="n">
        <f aca="false">IF(S7=1,IF(S6="Operating",(Risk_Register!$N$7+Risk_Register!$N$8)*Delivery_Params!$F$17/Inputs_Master!$C$9,0),0)</f>
        <v>0.347022222222222</v>
      </c>
      <c r="T30" s="1" t="n">
        <f aca="false">IF(T7=1,IF(T6="Operating",(Risk_Register!$N$7+Risk_Register!$N$8)*Delivery_Params!$F$17/Inputs_Master!$C$9,0),0)</f>
        <v>0.347022222222222</v>
      </c>
      <c r="U30" s="1" t="n">
        <f aca="false">IF(U7=1,IF(U6="Operating",(Risk_Register!$N$7+Risk_Register!$N$8)*Delivery_Params!$F$17/Inputs_Master!$C$9,0),0)</f>
        <v>0.347022222222222</v>
      </c>
      <c r="V30" s="1" t="n">
        <f aca="false">IF(V7=1,IF(V6="Operating",(Risk_Register!$N$7+Risk_Register!$N$8)*Delivery_Params!$F$17/Inputs_Master!$C$9,0),0)</f>
        <v>0.347022222222222</v>
      </c>
      <c r="W30" s="1" t="n">
        <f aca="false">IF(W7=1,IF(W6="Operating",(Risk_Register!$N$7+Risk_Register!$N$8)*Delivery_Params!$F$17/Inputs_Master!$C$9,0),0)</f>
        <v>0.347022222222222</v>
      </c>
      <c r="X30" s="1" t="n">
        <f aca="false">IF(X7=1,IF(X6="Operating",(Risk_Register!$N$7+Risk_Register!$N$8)*Delivery_Params!$F$17/Inputs_Master!$C$9,0),0)</f>
        <v>0.347022222222222</v>
      </c>
      <c r="Y30" s="1" t="n">
        <f aca="false">IF(Y7=1,IF(Y6="Operating",(Risk_Register!$N$7+Risk_Register!$N$8)*Delivery_Params!$F$17/Inputs_Master!$C$9,0),0)</f>
        <v>0.347022222222222</v>
      </c>
      <c r="Z30" s="1" t="n">
        <f aca="false">IF(Z7=1,IF(Z6="Operating",(Risk_Register!$N$7+Risk_Register!$N$8)*Delivery_Params!$F$17/Inputs_Master!$C$9,0),0)</f>
        <v>0.347022222222222</v>
      </c>
      <c r="AA30" s="1" t="n">
        <f aca="false">IF(AA7=1,IF(AA6="Operating",(Risk_Register!$N$7+Risk_Register!$N$8)*Delivery_Params!$F$17/Inputs_Master!$C$9,0),0)</f>
        <v>0.347022222222222</v>
      </c>
      <c r="AB30" s="1" t="n">
        <f aca="false">IF(AB7=1,IF(AB6="Operating",(Risk_Register!$N$7+Risk_Register!$N$8)*Delivery_Params!$F$17/Inputs_Master!$C$9,0),0)</f>
        <v>0.347022222222222</v>
      </c>
      <c r="AC30" s="1" t="n">
        <f aca="false">IF(AC7=1,IF(AC6="Operating",(Risk_Register!$N$7+Risk_Register!$N$8)*Delivery_Params!$F$17/Inputs_Master!$C$9,0),0)</f>
        <v>0.347022222222222</v>
      </c>
      <c r="AD30" s="1" t="n">
        <f aca="false">IF(AD7=1,IF(AD6="Operating",(Risk_Register!$N$7+Risk_Register!$N$8)*Delivery_Params!$F$17/Inputs_Master!$C$9,0),0)</f>
        <v>0.347022222222222</v>
      </c>
      <c r="AE30" s="1" t="n">
        <f aca="false">IF(AE7=1,IF(AE6="Operating",(Risk_Register!$N$7+Risk_Register!$N$8)*Delivery_Params!$F$17/Inputs_Master!$C$9,0),0)</f>
        <v>0.347022222222222</v>
      </c>
      <c r="AF30" s="1" t="n">
        <f aca="false">IF(AF7=1,IF(AF6="Operating",(Risk_Register!$N$7+Risk_Register!$N$8)*Delivery_Params!$F$17/Inputs_Master!$C$9,0),0)</f>
        <v>0.347022222222222</v>
      </c>
      <c r="AG30" s="1" t="n">
        <f aca="false">IF(AG7=1,IF(AG6="Operating",(Risk_Register!$N$7+Risk_Register!$N$8)*Delivery_Params!$F$17/Inputs_Master!$C$9,0),0)</f>
        <v>0.347022222222222</v>
      </c>
      <c r="AH30" s="1" t="n">
        <f aca="false">IF(AH7=1,IF(AH6="Operating",(Risk_Register!$N$7+Risk_Register!$N$8)*Delivery_Params!$F$17/Inputs_Master!$C$9,0),0)</f>
        <v>0.347022222222222</v>
      </c>
      <c r="AI30" s="1" t="n">
        <f aca="false">IF(AI7=1,IF(AI6="Operating",(Risk_Register!$N$7+Risk_Register!$N$8)*Delivery_Params!$F$17/Inputs_Master!$C$9,0),0)</f>
        <v>0.347022222222222</v>
      </c>
      <c r="AJ30" s="1" t="n">
        <f aca="false">IF(AJ7=1,IF(AJ6="Operating",(Risk_Register!$N$7+Risk_Register!$N$8)*Delivery_Params!$F$17/Inputs_Master!$C$9,0),0)</f>
        <v>0.347022222222222</v>
      </c>
    </row>
    <row r="31" customFormat="false" ht="15" hidden="false" customHeight="true" outlineLevel="0" collapsed="false">
      <c r="B31" s="1" t="s">
        <v>275</v>
      </c>
      <c r="C31" s="1" t="n">
        <f aca="false">IF(C7=1,(Risk_Register!$N$9+Risk_Register!$N$10+Risk_Register!$N$11)*0.5/Inputs_Master!$C$10,0)</f>
        <v>0.0637626262626263</v>
      </c>
      <c r="D31" s="1" t="n">
        <f aca="false">IF(D7=1,(Risk_Register!$N$9+Risk_Register!$N$10+Risk_Register!$N$11)*0.5/Inputs_Master!$C$10,0)</f>
        <v>0.0637626262626263</v>
      </c>
      <c r="E31" s="1" t="n">
        <f aca="false">IF(E7=1,(Risk_Register!$N$9+Risk_Register!$N$10+Risk_Register!$N$11)*0.5/Inputs_Master!$C$10,0)</f>
        <v>0.0637626262626263</v>
      </c>
      <c r="F31" s="1" t="n">
        <f aca="false">IF(F7=1,(Risk_Register!$N$9+Risk_Register!$N$10+Risk_Register!$N$11)*0.5/Inputs_Master!$C$10,0)</f>
        <v>0.0637626262626263</v>
      </c>
      <c r="G31" s="1" t="n">
        <f aca="false">IF(G7=1,(Risk_Register!$N$9+Risk_Register!$N$10+Risk_Register!$N$11)*0.5/Inputs_Master!$C$10,0)</f>
        <v>0.0637626262626263</v>
      </c>
      <c r="H31" s="1" t="n">
        <f aca="false">IF(H7=1,(Risk_Register!$N$9+Risk_Register!$N$10+Risk_Register!$N$11)*0.5/Inputs_Master!$C$10,0)</f>
        <v>0.0637626262626263</v>
      </c>
      <c r="I31" s="1" t="n">
        <f aca="false">IF(I7=1,(Risk_Register!$N$9+Risk_Register!$N$10+Risk_Register!$N$11)*0.5/Inputs_Master!$C$10,0)</f>
        <v>0.0637626262626263</v>
      </c>
      <c r="J31" s="1" t="n">
        <f aca="false">IF(J7=1,(Risk_Register!$N$9+Risk_Register!$N$10+Risk_Register!$N$11)*0.5/Inputs_Master!$C$10,0)</f>
        <v>0.0637626262626263</v>
      </c>
      <c r="K31" s="1" t="n">
        <f aca="false">IF(K7=1,(Risk_Register!$N$9+Risk_Register!$N$10+Risk_Register!$N$11)*0.5/Inputs_Master!$C$10,0)</f>
        <v>0.0637626262626263</v>
      </c>
      <c r="L31" s="1" t="n">
        <f aca="false">IF(L7=1,(Risk_Register!$N$9+Risk_Register!$N$10+Risk_Register!$N$11)*0.5/Inputs_Master!$C$10,0)</f>
        <v>0.0637626262626263</v>
      </c>
      <c r="M31" s="1" t="n">
        <f aca="false">IF(M7=1,(Risk_Register!$N$9+Risk_Register!$N$10+Risk_Register!$N$11)*0.5/Inputs_Master!$C$10,0)</f>
        <v>0.0637626262626263</v>
      </c>
      <c r="N31" s="1" t="n">
        <f aca="false">IF(N7=1,(Risk_Register!$N$9+Risk_Register!$N$10+Risk_Register!$N$11)*0.5/Inputs_Master!$C$10,0)</f>
        <v>0.0637626262626263</v>
      </c>
      <c r="O31" s="1" t="n">
        <f aca="false">IF(O7=1,(Risk_Register!$N$9+Risk_Register!$N$10+Risk_Register!$N$11)*0.5/Inputs_Master!$C$10,0)</f>
        <v>0.0637626262626263</v>
      </c>
      <c r="P31" s="1" t="n">
        <f aca="false">IF(P7=1,(Risk_Register!$N$9+Risk_Register!$N$10+Risk_Register!$N$11)*0.5/Inputs_Master!$C$10,0)</f>
        <v>0.0637626262626263</v>
      </c>
      <c r="Q31" s="1" t="n">
        <f aca="false">IF(Q7=1,(Risk_Register!$N$9+Risk_Register!$N$10+Risk_Register!$N$11)*0.5/Inputs_Master!$C$10,0)</f>
        <v>0.0637626262626263</v>
      </c>
      <c r="R31" s="1" t="n">
        <f aca="false">IF(R7=1,(Risk_Register!$N$9+Risk_Register!$N$10+Risk_Register!$N$11)*0.5/Inputs_Master!$C$10,0)</f>
        <v>0.0637626262626263</v>
      </c>
      <c r="S31" s="1" t="n">
        <f aca="false">IF(S7=1,(Risk_Register!$N$9+Risk_Register!$N$10+Risk_Register!$N$11)*0.5/Inputs_Master!$C$10,0)</f>
        <v>0.0637626262626263</v>
      </c>
      <c r="T31" s="1" t="n">
        <f aca="false">IF(T7=1,(Risk_Register!$N$9+Risk_Register!$N$10+Risk_Register!$N$11)*0.5/Inputs_Master!$C$10,0)</f>
        <v>0.0637626262626263</v>
      </c>
      <c r="U31" s="1" t="n">
        <f aca="false">IF(U7=1,(Risk_Register!$N$9+Risk_Register!$N$10+Risk_Register!$N$11)*0.5/Inputs_Master!$C$10,0)</f>
        <v>0.0637626262626263</v>
      </c>
      <c r="V31" s="1" t="n">
        <f aca="false">IF(V7=1,(Risk_Register!$N$9+Risk_Register!$N$10+Risk_Register!$N$11)*0.5/Inputs_Master!$C$10,0)</f>
        <v>0.0637626262626263</v>
      </c>
      <c r="W31" s="1" t="n">
        <f aca="false">IF(W7=1,(Risk_Register!$N$9+Risk_Register!$N$10+Risk_Register!$N$11)*0.5/Inputs_Master!$C$10,0)</f>
        <v>0.0637626262626263</v>
      </c>
      <c r="X31" s="1" t="n">
        <f aca="false">IF(X7=1,(Risk_Register!$N$9+Risk_Register!$N$10+Risk_Register!$N$11)*0.5/Inputs_Master!$C$10,0)</f>
        <v>0.0637626262626263</v>
      </c>
      <c r="Y31" s="1" t="n">
        <f aca="false">IF(Y7=1,(Risk_Register!$N$9+Risk_Register!$N$10+Risk_Register!$N$11)*0.5/Inputs_Master!$C$10,0)</f>
        <v>0.0637626262626263</v>
      </c>
      <c r="Z31" s="1" t="n">
        <f aca="false">IF(Z7=1,(Risk_Register!$N$9+Risk_Register!$N$10+Risk_Register!$N$11)*0.5/Inputs_Master!$C$10,0)</f>
        <v>0.0637626262626263</v>
      </c>
      <c r="AA31" s="1" t="n">
        <f aca="false">IF(AA7=1,(Risk_Register!$N$9+Risk_Register!$N$10+Risk_Register!$N$11)*0.5/Inputs_Master!$C$10,0)</f>
        <v>0.0637626262626263</v>
      </c>
      <c r="AB31" s="1" t="n">
        <f aca="false">IF(AB7=1,(Risk_Register!$N$9+Risk_Register!$N$10+Risk_Register!$N$11)*0.5/Inputs_Master!$C$10,0)</f>
        <v>0.0637626262626263</v>
      </c>
      <c r="AC31" s="1" t="n">
        <f aca="false">IF(AC7=1,(Risk_Register!$N$9+Risk_Register!$N$10+Risk_Register!$N$11)*0.5/Inputs_Master!$C$10,0)</f>
        <v>0.0637626262626263</v>
      </c>
      <c r="AD31" s="1" t="n">
        <f aca="false">IF(AD7=1,(Risk_Register!$N$9+Risk_Register!$N$10+Risk_Register!$N$11)*0.5/Inputs_Master!$C$10,0)</f>
        <v>0.0637626262626263</v>
      </c>
      <c r="AE31" s="1" t="n">
        <f aca="false">IF(AE7=1,(Risk_Register!$N$9+Risk_Register!$N$10+Risk_Register!$N$11)*0.5/Inputs_Master!$C$10,0)</f>
        <v>0.0637626262626263</v>
      </c>
      <c r="AF31" s="1" t="n">
        <f aca="false">IF(AF7=1,(Risk_Register!$N$9+Risk_Register!$N$10+Risk_Register!$N$11)*0.5/Inputs_Master!$C$10,0)</f>
        <v>0.0637626262626263</v>
      </c>
      <c r="AG31" s="1" t="n">
        <f aca="false">IF(AG7=1,(Risk_Register!$N$9+Risk_Register!$N$10+Risk_Register!$N$11)*0.5/Inputs_Master!$C$10,0)</f>
        <v>0.0637626262626263</v>
      </c>
      <c r="AH31" s="1" t="n">
        <f aca="false">IF(AH7=1,(Risk_Register!$N$9+Risk_Register!$N$10+Risk_Register!$N$11)*0.5/Inputs_Master!$C$10,0)</f>
        <v>0.0637626262626263</v>
      </c>
      <c r="AI31" s="1" t="n">
        <f aca="false">IF(AI7=1,(Risk_Register!$N$9+Risk_Register!$N$10+Risk_Register!$N$11)*0.5/Inputs_Master!$C$10,0)</f>
        <v>0.0637626262626263</v>
      </c>
      <c r="AJ31" s="1" t="n">
        <f aca="false">IF(AJ7=1,(Risk_Register!$N$9+Risk_Register!$N$10+Risk_Register!$N$11)*0.5/Inputs_Master!$C$10,0)</f>
        <v>0.0637626262626263</v>
      </c>
    </row>
    <row r="32" customFormat="false" ht="15" hidden="false" customHeight="true" outlineLevel="0" collapsed="false">
      <c r="B32" s="20" t="s">
        <v>276</v>
      </c>
      <c r="C32" s="21" t="n">
        <f aca="false">IF(C7=1,C29+C30+C31,0)</f>
        <v>8.1165404040404</v>
      </c>
      <c r="D32" s="21" t="n">
        <f aca="false">IF(D7=1,D29+D30+D31,0)</f>
        <v>8.1165404040404</v>
      </c>
      <c r="E32" s="21" t="n">
        <f aca="false">IF(E7=1,E29+E30+E31,0)</f>
        <v>8.1165404040404</v>
      </c>
      <c r="F32" s="21" t="n">
        <f aca="false">IF(F7=1,F29+F30+F31,0)</f>
        <v>0.410784848484849</v>
      </c>
      <c r="G32" s="21" t="n">
        <f aca="false">IF(G7=1,G29+G30+G31,0)</f>
        <v>0.410784848484849</v>
      </c>
      <c r="H32" s="21" t="n">
        <f aca="false">IF(H7=1,H29+H30+H31,0)</f>
        <v>0.410784848484849</v>
      </c>
      <c r="I32" s="21" t="n">
        <f aca="false">IF(I7=1,I29+I30+I31,0)</f>
        <v>0.410784848484849</v>
      </c>
      <c r="J32" s="21" t="n">
        <f aca="false">IF(J7=1,J29+J30+J31,0)</f>
        <v>0.410784848484849</v>
      </c>
      <c r="K32" s="21" t="n">
        <f aca="false">IF(K7=1,K29+K30+K31,0)</f>
        <v>0.410784848484849</v>
      </c>
      <c r="L32" s="21" t="n">
        <f aca="false">IF(L7=1,L29+L30+L31,0)</f>
        <v>0.410784848484849</v>
      </c>
      <c r="M32" s="21" t="n">
        <f aca="false">IF(M7=1,M29+M30+M31,0)</f>
        <v>0.410784848484849</v>
      </c>
      <c r="N32" s="21" t="n">
        <f aca="false">IF(N7=1,N29+N30+N31,0)</f>
        <v>0.410784848484849</v>
      </c>
      <c r="O32" s="21" t="n">
        <f aca="false">IF(O7=1,O29+O30+O31,0)</f>
        <v>0.410784848484849</v>
      </c>
      <c r="P32" s="21" t="n">
        <f aca="false">IF(P7=1,P29+P30+P31,0)</f>
        <v>0.410784848484849</v>
      </c>
      <c r="Q32" s="21" t="n">
        <f aca="false">IF(Q7=1,Q29+Q30+Q31,0)</f>
        <v>0.410784848484849</v>
      </c>
      <c r="R32" s="21" t="n">
        <f aca="false">IF(R7=1,R29+R30+R31,0)</f>
        <v>0.410784848484849</v>
      </c>
      <c r="S32" s="21" t="n">
        <f aca="false">IF(S7=1,S29+S30+S31,0)</f>
        <v>0.410784848484849</v>
      </c>
      <c r="T32" s="21" t="n">
        <f aca="false">IF(T7=1,T29+T30+T31,0)</f>
        <v>0.410784848484849</v>
      </c>
      <c r="U32" s="21" t="n">
        <f aca="false">IF(U7=1,U29+U30+U31,0)</f>
        <v>0.410784848484849</v>
      </c>
      <c r="V32" s="21" t="n">
        <f aca="false">IF(V7=1,V29+V30+V31,0)</f>
        <v>0.410784848484849</v>
      </c>
      <c r="W32" s="21" t="n">
        <f aca="false">IF(W7=1,W29+W30+W31,0)</f>
        <v>0.410784848484849</v>
      </c>
      <c r="X32" s="21" t="n">
        <f aca="false">IF(X7=1,X29+X30+X31,0)</f>
        <v>0.410784848484849</v>
      </c>
      <c r="Y32" s="21" t="n">
        <f aca="false">IF(Y7=1,Y29+Y30+Y31,0)</f>
        <v>0.410784848484849</v>
      </c>
      <c r="Z32" s="21" t="n">
        <f aca="false">IF(Z7=1,Z29+Z30+Z31,0)</f>
        <v>0.410784848484849</v>
      </c>
      <c r="AA32" s="21" t="n">
        <f aca="false">IF(AA7=1,AA29+AA30+AA31,0)</f>
        <v>0.410784848484849</v>
      </c>
      <c r="AB32" s="21" t="n">
        <f aca="false">IF(AB7=1,AB29+AB30+AB31,0)</f>
        <v>0.410784848484849</v>
      </c>
      <c r="AC32" s="21" t="n">
        <f aca="false">IF(AC7=1,AC29+AC30+AC31,0)</f>
        <v>0.410784848484849</v>
      </c>
      <c r="AD32" s="21" t="n">
        <f aca="false">IF(AD7=1,AD29+AD30+AD31,0)</f>
        <v>0.410784848484849</v>
      </c>
      <c r="AE32" s="21" t="n">
        <f aca="false">IF(AE7=1,AE29+AE30+AE31,0)</f>
        <v>0.410784848484849</v>
      </c>
      <c r="AF32" s="21" t="n">
        <f aca="false">IF(AF7=1,AF29+AF30+AF31,0)</f>
        <v>0.410784848484849</v>
      </c>
      <c r="AG32" s="21" t="n">
        <f aca="false">IF(AG7=1,AG29+AG30+AG31,0)</f>
        <v>0.410784848484849</v>
      </c>
      <c r="AH32" s="21" t="n">
        <f aca="false">IF(AH7=1,AH29+AH30+AH31,0)</f>
        <v>0.410784848484849</v>
      </c>
      <c r="AI32" s="21" t="n">
        <f aca="false">IF(AI7=1,AI29+AI30+AI31,0)</f>
        <v>0.410784848484849</v>
      </c>
      <c r="AJ32" s="21" t="n">
        <f aca="false">IF(AJ7=1,AJ29+AJ30+AJ31,0)</f>
        <v>0.410784848484849</v>
      </c>
    </row>
    <row r="34" customFormat="false" ht="15" hidden="false" customHeight="true" outlineLevel="0" collapsed="false">
      <c r="B34" s="16" t="s">
        <v>277</v>
      </c>
    </row>
    <row r="35" customFormat="false" ht="15" hidden="false" customHeight="true" outlineLevel="0" collapsed="false">
      <c r="B35" s="1" t="s">
        <v>278</v>
      </c>
      <c r="C35" s="1" t="n">
        <f aca="false">IF(C7=1,IF(C6="Operating",MAX(0,(Inputs_Master!$C$59-Inputs_Master!$C$60*(1+Inputs_Master!$C$61))*POWER(1+Inputs_Master!$C$17,C5)*Inputs_Master!$C$21*0.15),0),0)</f>
        <v>0</v>
      </c>
      <c r="D35" s="1" t="n">
        <f aca="false">IF(D7=1,IF(D6="Operating",MAX(0,(Inputs_Master!$C$59-Inputs_Master!$C$60*(1+Inputs_Master!$C$61))*POWER(1+Inputs_Master!$C$17,D5)*Inputs_Master!$C$21*0.15),0),0)</f>
        <v>0</v>
      </c>
      <c r="E35" s="1" t="n">
        <f aca="false">IF(E7=1,IF(E6="Operating",MAX(0,(Inputs_Master!$C$59-Inputs_Master!$C$60*(1+Inputs_Master!$C$61))*POWER(1+Inputs_Master!$C$17,E5)*Inputs_Master!$C$21*0.15),0),0)</f>
        <v>0</v>
      </c>
      <c r="F35" s="1" t="e">
        <f aca="false">IF(F7=1,IF(F6="Operating",MAX(0,(Inputs_Master!$C$59-Inputs_Master!$C$60*(1+Inputs_Master!$C$61))*POWER(1+Inputs_Master!$C$17,F5)*Inputs_Master!$C$21*0.15),0),0)</f>
        <v>#NUM!</v>
      </c>
      <c r="G35" s="1" t="e">
        <f aca="false">IF(G7=1,IF(G6="Operating",MAX(0,(Inputs_Master!$C$59-Inputs_Master!$C$60*(1+Inputs_Master!$C$61))*POWER(1+Inputs_Master!$C$17,G5)*Inputs_Master!$C$21*0.15),0),0)</f>
        <v>#NUM!</v>
      </c>
      <c r="H35" s="1" t="e">
        <f aca="false">IF(H7=1,IF(H6="Operating",MAX(0,(Inputs_Master!$C$59-Inputs_Master!$C$60*(1+Inputs_Master!$C$61))*POWER(1+Inputs_Master!$C$17,H5)*Inputs_Master!$C$21*0.15),0),0)</f>
        <v>#NUM!</v>
      </c>
      <c r="I35" s="1" t="e">
        <f aca="false">IF(I7=1,IF(I6="Operating",MAX(0,(Inputs_Master!$C$59-Inputs_Master!$C$60*(1+Inputs_Master!$C$61))*POWER(1+Inputs_Master!$C$17,I5)*Inputs_Master!$C$21*0.15),0),0)</f>
        <v>#NUM!</v>
      </c>
      <c r="J35" s="1" t="e">
        <f aca="false">IF(J7=1,IF(J6="Operating",MAX(0,(Inputs_Master!$C$59-Inputs_Master!$C$60*(1+Inputs_Master!$C$61))*POWER(1+Inputs_Master!$C$17,J5)*Inputs_Master!$C$21*0.15),0),0)</f>
        <v>#NUM!</v>
      </c>
      <c r="K35" s="1" t="e">
        <f aca="false">IF(K7=1,IF(K6="Operating",MAX(0,(Inputs_Master!$C$59-Inputs_Master!$C$60*(1+Inputs_Master!$C$61))*POWER(1+Inputs_Master!$C$17,K5)*Inputs_Master!$C$21*0.15),0),0)</f>
        <v>#NUM!</v>
      </c>
      <c r="L35" s="1" t="e">
        <f aca="false">IF(L7=1,IF(L6="Operating",MAX(0,(Inputs_Master!$C$59-Inputs_Master!$C$60*(1+Inputs_Master!$C$61))*POWER(1+Inputs_Master!$C$17,L5)*Inputs_Master!$C$21*0.15),0),0)</f>
        <v>#NUM!</v>
      </c>
      <c r="M35" s="1" t="e">
        <f aca="false">IF(M7=1,IF(M6="Operating",MAX(0,(Inputs_Master!$C$59-Inputs_Master!$C$60*(1+Inputs_Master!$C$61))*POWER(1+Inputs_Master!$C$17,M5)*Inputs_Master!$C$21*0.15),0),0)</f>
        <v>#NUM!</v>
      </c>
      <c r="N35" s="1" t="e">
        <f aca="false">IF(N7=1,IF(N6="Operating",MAX(0,(Inputs_Master!$C$59-Inputs_Master!$C$60*(1+Inputs_Master!$C$61))*POWER(1+Inputs_Master!$C$17,N5)*Inputs_Master!$C$21*0.15),0),0)</f>
        <v>#NUM!</v>
      </c>
      <c r="O35" s="1" t="e">
        <f aca="false">IF(O7=1,IF(O6="Operating",MAX(0,(Inputs_Master!$C$59-Inputs_Master!$C$60*(1+Inputs_Master!$C$61))*POWER(1+Inputs_Master!$C$17,O5)*Inputs_Master!$C$21*0.15),0),0)</f>
        <v>#NUM!</v>
      </c>
      <c r="P35" s="1" t="e">
        <f aca="false">IF(P7=1,IF(P6="Operating",MAX(0,(Inputs_Master!$C$59-Inputs_Master!$C$60*(1+Inputs_Master!$C$61))*POWER(1+Inputs_Master!$C$17,P5)*Inputs_Master!$C$21*0.15),0),0)</f>
        <v>#NUM!</v>
      </c>
      <c r="Q35" s="1" t="e">
        <f aca="false">IF(Q7=1,IF(Q6="Operating",MAX(0,(Inputs_Master!$C$59-Inputs_Master!$C$60*(1+Inputs_Master!$C$61))*POWER(1+Inputs_Master!$C$17,Q5)*Inputs_Master!$C$21*0.15),0),0)</f>
        <v>#NUM!</v>
      </c>
      <c r="R35" s="1" t="e">
        <f aca="false">IF(R7=1,IF(R6="Operating",MAX(0,(Inputs_Master!$C$59-Inputs_Master!$C$60*(1+Inputs_Master!$C$61))*POWER(1+Inputs_Master!$C$17,R5)*Inputs_Master!$C$21*0.15),0),0)</f>
        <v>#NUM!</v>
      </c>
      <c r="S35" s="1" t="e">
        <f aca="false">IF(S7=1,IF(S6="Operating",MAX(0,(Inputs_Master!$C$59-Inputs_Master!$C$60*(1+Inputs_Master!$C$61))*POWER(1+Inputs_Master!$C$17,S5)*Inputs_Master!$C$21*0.15),0),0)</f>
        <v>#NUM!</v>
      </c>
      <c r="T35" s="1" t="e">
        <f aca="false">IF(T7=1,IF(T6="Operating",MAX(0,(Inputs_Master!$C$59-Inputs_Master!$C$60*(1+Inputs_Master!$C$61))*POWER(1+Inputs_Master!$C$17,T5)*Inputs_Master!$C$21*0.15),0),0)</f>
        <v>#NUM!</v>
      </c>
      <c r="U35" s="1" t="e">
        <f aca="false">IF(U7=1,IF(U6="Operating",MAX(0,(Inputs_Master!$C$59-Inputs_Master!$C$60*(1+Inputs_Master!$C$61))*POWER(1+Inputs_Master!$C$17,U5)*Inputs_Master!$C$21*0.15),0),0)</f>
        <v>#NUM!</v>
      </c>
      <c r="V35" s="1" t="e">
        <f aca="false">IF(V7=1,IF(V6="Operating",MAX(0,(Inputs_Master!$C$59-Inputs_Master!$C$60*(1+Inputs_Master!$C$61))*POWER(1+Inputs_Master!$C$17,V5)*Inputs_Master!$C$21*0.15),0),0)</f>
        <v>#NUM!</v>
      </c>
      <c r="W35" s="1" t="e">
        <f aca="false">IF(W7=1,IF(W6="Operating",MAX(0,(Inputs_Master!$C$59-Inputs_Master!$C$60*(1+Inputs_Master!$C$61))*POWER(1+Inputs_Master!$C$17,W5)*Inputs_Master!$C$21*0.15),0),0)</f>
        <v>#NUM!</v>
      </c>
      <c r="X35" s="1" t="e">
        <f aca="false">IF(X7=1,IF(X6="Operating",MAX(0,(Inputs_Master!$C$59-Inputs_Master!$C$60*(1+Inputs_Master!$C$61))*POWER(1+Inputs_Master!$C$17,X5)*Inputs_Master!$C$21*0.15),0),0)</f>
        <v>#NUM!</v>
      </c>
      <c r="Y35" s="1" t="e">
        <f aca="false">IF(Y7=1,IF(Y6="Operating",MAX(0,(Inputs_Master!$C$59-Inputs_Master!$C$60*(1+Inputs_Master!$C$61))*POWER(1+Inputs_Master!$C$17,Y5)*Inputs_Master!$C$21*0.15),0),0)</f>
        <v>#NUM!</v>
      </c>
      <c r="Z35" s="1" t="e">
        <f aca="false">IF(Z7=1,IF(Z6="Operating",MAX(0,(Inputs_Master!$C$59-Inputs_Master!$C$60*(1+Inputs_Master!$C$61))*POWER(1+Inputs_Master!$C$17,Z5)*Inputs_Master!$C$21*0.15),0),0)</f>
        <v>#NUM!</v>
      </c>
      <c r="AA35" s="1" t="e">
        <f aca="false">IF(AA7=1,IF(AA6="Operating",MAX(0,(Inputs_Master!$C$59-Inputs_Master!$C$60*(1+Inputs_Master!$C$61))*POWER(1+Inputs_Master!$C$17,AA5)*Inputs_Master!$C$21*0.15),0),0)</f>
        <v>#NUM!</v>
      </c>
      <c r="AB35" s="1" t="e">
        <f aca="false">IF(AB7=1,IF(AB6="Operating",MAX(0,(Inputs_Master!$C$59-Inputs_Master!$C$60*(1+Inputs_Master!$C$61))*POWER(1+Inputs_Master!$C$17,AB5)*Inputs_Master!$C$21*0.15),0),0)</f>
        <v>#NUM!</v>
      </c>
      <c r="AC35" s="1" t="e">
        <f aca="false">IF(AC7=1,IF(AC6="Operating",MAX(0,(Inputs_Master!$C$59-Inputs_Master!$C$60*(1+Inputs_Master!$C$61))*POWER(1+Inputs_Master!$C$17,AC5)*Inputs_Master!$C$21*0.15),0),0)</f>
        <v>#NUM!</v>
      </c>
      <c r="AD35" s="1" t="e">
        <f aca="false">IF(AD7=1,IF(AD6="Operating",MAX(0,(Inputs_Master!$C$59-Inputs_Master!$C$60*(1+Inputs_Master!$C$61))*POWER(1+Inputs_Master!$C$17,AD5)*Inputs_Master!$C$21*0.15),0),0)</f>
        <v>#NUM!</v>
      </c>
      <c r="AE35" s="1" t="e">
        <f aca="false">IF(AE7=1,IF(AE6="Operating",MAX(0,(Inputs_Master!$C$59-Inputs_Master!$C$60*(1+Inputs_Master!$C$61))*POWER(1+Inputs_Master!$C$17,AE5)*Inputs_Master!$C$21*0.15),0),0)</f>
        <v>#NUM!</v>
      </c>
      <c r="AF35" s="1" t="e">
        <f aca="false">IF(AF7=1,IF(AF6="Operating",MAX(0,(Inputs_Master!$C$59-Inputs_Master!$C$60*(1+Inputs_Master!$C$61))*POWER(1+Inputs_Master!$C$17,AF5)*Inputs_Master!$C$21*0.15),0),0)</f>
        <v>#NUM!</v>
      </c>
      <c r="AG35" s="1" t="e">
        <f aca="false">IF(AG7=1,IF(AG6="Operating",MAX(0,(Inputs_Master!$C$59-Inputs_Master!$C$60*(1+Inputs_Master!$C$61))*POWER(1+Inputs_Master!$C$17,AG5)*Inputs_Master!$C$21*0.15),0),0)</f>
        <v>#NUM!</v>
      </c>
      <c r="AH35" s="1" t="e">
        <f aca="false">IF(AH7=1,IF(AH6="Operating",MAX(0,(Inputs_Master!$C$59-Inputs_Master!$C$60*(1+Inputs_Master!$C$61))*POWER(1+Inputs_Master!$C$17,AH5)*Inputs_Master!$C$21*0.15),0),0)</f>
        <v>#NUM!</v>
      </c>
      <c r="AI35" s="1" t="e">
        <f aca="false">IF(AI7=1,IF(AI6="Operating",MAX(0,(Inputs_Master!$C$59-Inputs_Master!$C$60*(1+Inputs_Master!$C$61))*POWER(1+Inputs_Master!$C$17,AI5)*Inputs_Master!$C$21*0.15),0),0)</f>
        <v>#NUM!</v>
      </c>
      <c r="AJ35" s="1" t="e">
        <f aca="false">IF(AJ7=1,IF(AJ6="Operating",MAX(0,(Inputs_Master!$C$59-Inputs_Master!$C$60*(1+Inputs_Master!$C$61))*POWER(1+Inputs_Master!$C$17,AJ5)*Inputs_Master!$C$21*0.15),0),0)</f>
        <v>#NUM!</v>
      </c>
    </row>
    <row r="36" customFormat="false" ht="15" hidden="false" customHeight="true" outlineLevel="0" collapsed="false">
      <c r="B36" s="1" t="s">
        <v>279</v>
      </c>
      <c r="C36" s="1" t="n">
        <f aca="false">IF(C7=1,IF(C6="Operating",Inputs_Master!$C$28*Inputs_Master!$C$22,0),0)</f>
        <v>0</v>
      </c>
      <c r="D36" s="1" t="n">
        <f aca="false">IF(D7=1,IF(D6="Operating",Inputs_Master!$C$28*Inputs_Master!$C$22,0),0)</f>
        <v>0</v>
      </c>
      <c r="E36" s="1" t="n">
        <f aca="false">IF(E7=1,IF(E6="Operating",Inputs_Master!$C$28*Inputs_Master!$C$22,0),0)</f>
        <v>0</v>
      </c>
      <c r="F36" s="1" t="n">
        <f aca="false">IF(F7=1,IF(F6="Operating",Inputs_Master!$C$28*Inputs_Master!$C$22,0),0)</f>
        <v>0.375</v>
      </c>
      <c r="G36" s="1" t="n">
        <f aca="false">IF(G7=1,IF(G6="Operating",Inputs_Master!$C$28*Inputs_Master!$C$22,0),0)</f>
        <v>0.375</v>
      </c>
      <c r="H36" s="1" t="n">
        <f aca="false">IF(H7=1,IF(H6="Operating",Inputs_Master!$C$28*Inputs_Master!$C$22,0),0)</f>
        <v>0.375</v>
      </c>
      <c r="I36" s="1" t="n">
        <f aca="false">IF(I7=1,IF(I6="Operating",Inputs_Master!$C$28*Inputs_Master!$C$22,0),0)</f>
        <v>0.375</v>
      </c>
      <c r="J36" s="1" t="n">
        <f aca="false">IF(J7=1,IF(J6="Operating",Inputs_Master!$C$28*Inputs_Master!$C$22,0),0)</f>
        <v>0.375</v>
      </c>
      <c r="K36" s="1" t="n">
        <f aca="false">IF(K7=1,IF(K6="Operating",Inputs_Master!$C$28*Inputs_Master!$C$22,0),0)</f>
        <v>0.375</v>
      </c>
      <c r="L36" s="1" t="n">
        <f aca="false">IF(L7=1,IF(L6="Operating",Inputs_Master!$C$28*Inputs_Master!$C$22,0),0)</f>
        <v>0.375</v>
      </c>
      <c r="M36" s="1" t="n">
        <f aca="false">IF(M7=1,IF(M6="Operating",Inputs_Master!$C$28*Inputs_Master!$C$22,0),0)</f>
        <v>0.375</v>
      </c>
      <c r="N36" s="1" t="n">
        <f aca="false">IF(N7=1,IF(N6="Operating",Inputs_Master!$C$28*Inputs_Master!$C$22,0),0)</f>
        <v>0.375</v>
      </c>
      <c r="O36" s="1" t="n">
        <f aca="false">IF(O7=1,IF(O6="Operating",Inputs_Master!$C$28*Inputs_Master!$C$22,0),0)</f>
        <v>0.375</v>
      </c>
      <c r="P36" s="1" t="n">
        <f aca="false">IF(P7=1,IF(P6="Operating",Inputs_Master!$C$28*Inputs_Master!$C$22,0),0)</f>
        <v>0.375</v>
      </c>
      <c r="Q36" s="1" t="n">
        <f aca="false">IF(Q7=1,IF(Q6="Operating",Inputs_Master!$C$28*Inputs_Master!$C$22,0),0)</f>
        <v>0.375</v>
      </c>
      <c r="R36" s="1" t="n">
        <f aca="false">IF(R7=1,IF(R6="Operating",Inputs_Master!$C$28*Inputs_Master!$C$22,0),0)</f>
        <v>0.375</v>
      </c>
      <c r="S36" s="1" t="n">
        <f aca="false">IF(S7=1,IF(S6="Operating",Inputs_Master!$C$28*Inputs_Master!$C$22,0),0)</f>
        <v>0.375</v>
      </c>
      <c r="T36" s="1" t="n">
        <f aca="false">IF(T7=1,IF(T6="Operating",Inputs_Master!$C$28*Inputs_Master!$C$22,0),0)</f>
        <v>0.375</v>
      </c>
      <c r="U36" s="1" t="n">
        <f aca="false">IF(U7=1,IF(U6="Operating",Inputs_Master!$C$28*Inputs_Master!$C$22,0),0)</f>
        <v>0.375</v>
      </c>
      <c r="V36" s="1" t="n">
        <f aca="false">IF(V7=1,IF(V6="Operating",Inputs_Master!$C$28*Inputs_Master!$C$22,0),0)</f>
        <v>0.375</v>
      </c>
      <c r="W36" s="1" t="n">
        <f aca="false">IF(W7=1,IF(W6="Operating",Inputs_Master!$C$28*Inputs_Master!$C$22,0),0)</f>
        <v>0.375</v>
      </c>
      <c r="X36" s="1" t="n">
        <f aca="false">IF(X7=1,IF(X6="Operating",Inputs_Master!$C$28*Inputs_Master!$C$22,0),0)</f>
        <v>0.375</v>
      </c>
      <c r="Y36" s="1" t="n">
        <f aca="false">IF(Y7=1,IF(Y6="Operating",Inputs_Master!$C$28*Inputs_Master!$C$22,0),0)</f>
        <v>0.375</v>
      </c>
      <c r="Z36" s="1" t="n">
        <f aca="false">IF(Z7=1,IF(Z6="Operating",Inputs_Master!$C$28*Inputs_Master!$C$22,0),0)</f>
        <v>0.375</v>
      </c>
      <c r="AA36" s="1" t="n">
        <f aca="false">IF(AA7=1,IF(AA6="Operating",Inputs_Master!$C$28*Inputs_Master!$C$22,0),0)</f>
        <v>0.375</v>
      </c>
      <c r="AB36" s="1" t="n">
        <f aca="false">IF(AB7=1,IF(AB6="Operating",Inputs_Master!$C$28*Inputs_Master!$C$22,0),0)</f>
        <v>0.375</v>
      </c>
      <c r="AC36" s="1" t="n">
        <f aca="false">IF(AC7=1,IF(AC6="Operating",Inputs_Master!$C$28*Inputs_Master!$C$22,0),0)</f>
        <v>0.375</v>
      </c>
      <c r="AD36" s="1" t="n">
        <f aca="false">IF(AD7=1,IF(AD6="Operating",Inputs_Master!$C$28*Inputs_Master!$C$22,0),0)</f>
        <v>0.375</v>
      </c>
      <c r="AE36" s="1" t="n">
        <f aca="false">IF(AE7=1,IF(AE6="Operating",Inputs_Master!$C$28*Inputs_Master!$C$22,0),0)</f>
        <v>0.375</v>
      </c>
      <c r="AF36" s="1" t="n">
        <f aca="false">IF(AF7=1,IF(AF6="Operating",Inputs_Master!$C$28*Inputs_Master!$C$22,0),0)</f>
        <v>0.375</v>
      </c>
      <c r="AG36" s="1" t="n">
        <f aca="false">IF(AG7=1,IF(AG6="Operating",Inputs_Master!$C$28*Inputs_Master!$C$22,0),0)</f>
        <v>0.375</v>
      </c>
      <c r="AH36" s="1" t="n">
        <f aca="false">IF(AH7=1,IF(AH6="Operating",Inputs_Master!$C$28*Inputs_Master!$C$22,0),0)</f>
        <v>0.375</v>
      </c>
      <c r="AI36" s="1" t="n">
        <f aca="false">IF(AI7=1,IF(AI6="Operating",Inputs_Master!$C$28*Inputs_Master!$C$22,0),0)</f>
        <v>0.375</v>
      </c>
      <c r="AJ36" s="1" t="n">
        <f aca="false">IF(AJ7=1,IF(AJ6="Operating",Inputs_Master!$C$28*Inputs_Master!$C$22,0),0)</f>
        <v>0.375</v>
      </c>
    </row>
    <row r="37" customFormat="false" ht="15" hidden="false" customHeight="true" outlineLevel="0" collapsed="false">
      <c r="B37" s="1" t="s">
        <v>280</v>
      </c>
      <c r="C37" s="1" t="e">
        <f aca="false">IF(C7=1,IF(C5=0,Inputs_Master!$C$41*(Inputs_Master!$C$44-Inputs_Master!$C$20)*((1-(1+Inputs_Master!$C$15)^(-Inputs_Master!$C$45))/Inputs_Master!$C$15),0),0)</f>
        <v>#N/A</v>
      </c>
      <c r="D37" s="1" t="n">
        <f aca="false">IF(D7=1,IF(D5=0,Inputs_Master!$C$41*(Inputs_Master!$C$44-Inputs_Master!$C$20)*((1-(1+Inputs_Master!$C$15)^(-Inputs_Master!$C$45))/Inputs_Master!$C$15),0),0)</f>
        <v>0</v>
      </c>
      <c r="E37" s="1" t="n">
        <f aca="false">IF(E7=1,IF(E5=0,Inputs_Master!$C$41*(Inputs_Master!$C$44-Inputs_Master!$C$20)*((1-(1+Inputs_Master!$C$15)^(-Inputs_Master!$C$45))/Inputs_Master!$C$15),0),0)</f>
        <v>0</v>
      </c>
      <c r="F37" s="1" t="n">
        <f aca="false">IF(F7=1,IF(F5=0,Inputs_Master!$C$41*(Inputs_Master!$C$44-Inputs_Master!$C$20)*((1-(1+Inputs_Master!$C$15)^(-Inputs_Master!$C$45))/Inputs_Master!$C$15),0),0)</f>
        <v>0</v>
      </c>
      <c r="G37" s="1" t="n">
        <f aca="false">IF(G7=1,IF(G5=0,Inputs_Master!$C$41*(Inputs_Master!$C$44-Inputs_Master!$C$20)*((1-(1+Inputs_Master!$C$15)^(-Inputs_Master!$C$45))/Inputs_Master!$C$15),0),0)</f>
        <v>0</v>
      </c>
      <c r="H37" s="1" t="n">
        <f aca="false">IF(H7=1,IF(H5=0,Inputs_Master!$C$41*(Inputs_Master!$C$44-Inputs_Master!$C$20)*((1-(1+Inputs_Master!$C$15)^(-Inputs_Master!$C$45))/Inputs_Master!$C$15),0),0)</f>
        <v>0</v>
      </c>
      <c r="I37" s="1" t="n">
        <f aca="false">IF(I7=1,IF(I5=0,Inputs_Master!$C$41*(Inputs_Master!$C$44-Inputs_Master!$C$20)*((1-(1+Inputs_Master!$C$15)^(-Inputs_Master!$C$45))/Inputs_Master!$C$15),0),0)</f>
        <v>0</v>
      </c>
      <c r="J37" s="1" t="n">
        <f aca="false">IF(J7=1,IF(J5=0,Inputs_Master!$C$41*(Inputs_Master!$C$44-Inputs_Master!$C$20)*((1-(1+Inputs_Master!$C$15)^(-Inputs_Master!$C$45))/Inputs_Master!$C$15),0),0)</f>
        <v>0</v>
      </c>
      <c r="K37" s="1" t="n">
        <f aca="false">IF(K7=1,IF(K5=0,Inputs_Master!$C$41*(Inputs_Master!$C$44-Inputs_Master!$C$20)*((1-(1+Inputs_Master!$C$15)^(-Inputs_Master!$C$45))/Inputs_Master!$C$15),0),0)</f>
        <v>0</v>
      </c>
      <c r="L37" s="1" t="n">
        <f aca="false">IF(L7=1,IF(L5=0,Inputs_Master!$C$41*(Inputs_Master!$C$44-Inputs_Master!$C$20)*((1-(1+Inputs_Master!$C$15)^(-Inputs_Master!$C$45))/Inputs_Master!$C$15),0),0)</f>
        <v>0</v>
      </c>
      <c r="M37" s="1" t="n">
        <f aca="false">IF(M7=1,IF(M5=0,Inputs_Master!$C$41*(Inputs_Master!$C$44-Inputs_Master!$C$20)*((1-(1+Inputs_Master!$C$15)^(-Inputs_Master!$C$45))/Inputs_Master!$C$15),0),0)</f>
        <v>0</v>
      </c>
      <c r="N37" s="1" t="n">
        <f aca="false">IF(N7=1,IF(N5=0,Inputs_Master!$C$41*(Inputs_Master!$C$44-Inputs_Master!$C$20)*((1-(1+Inputs_Master!$C$15)^(-Inputs_Master!$C$45))/Inputs_Master!$C$15),0),0)</f>
        <v>0</v>
      </c>
      <c r="O37" s="1" t="n">
        <f aca="false">IF(O7=1,IF(O5=0,Inputs_Master!$C$41*(Inputs_Master!$C$44-Inputs_Master!$C$20)*((1-(1+Inputs_Master!$C$15)^(-Inputs_Master!$C$45))/Inputs_Master!$C$15),0),0)</f>
        <v>0</v>
      </c>
      <c r="P37" s="1" t="n">
        <f aca="false">IF(P7=1,IF(P5=0,Inputs_Master!$C$41*(Inputs_Master!$C$44-Inputs_Master!$C$20)*((1-(1+Inputs_Master!$C$15)^(-Inputs_Master!$C$45))/Inputs_Master!$C$15),0),0)</f>
        <v>0</v>
      </c>
      <c r="Q37" s="1" t="n">
        <f aca="false">IF(Q7=1,IF(Q5=0,Inputs_Master!$C$41*(Inputs_Master!$C$44-Inputs_Master!$C$20)*((1-(1+Inputs_Master!$C$15)^(-Inputs_Master!$C$45))/Inputs_Master!$C$15),0),0)</f>
        <v>0</v>
      </c>
      <c r="R37" s="1" t="n">
        <f aca="false">IF(R7=1,IF(R5=0,Inputs_Master!$C$41*(Inputs_Master!$C$44-Inputs_Master!$C$20)*((1-(1+Inputs_Master!$C$15)^(-Inputs_Master!$C$45))/Inputs_Master!$C$15),0),0)</f>
        <v>0</v>
      </c>
      <c r="S37" s="1" t="n">
        <f aca="false">IF(S7=1,IF(S5=0,Inputs_Master!$C$41*(Inputs_Master!$C$44-Inputs_Master!$C$20)*((1-(1+Inputs_Master!$C$15)^(-Inputs_Master!$C$45))/Inputs_Master!$C$15),0),0)</f>
        <v>0</v>
      </c>
      <c r="T37" s="1" t="n">
        <f aca="false">IF(T7=1,IF(T5=0,Inputs_Master!$C$41*(Inputs_Master!$C$44-Inputs_Master!$C$20)*((1-(1+Inputs_Master!$C$15)^(-Inputs_Master!$C$45))/Inputs_Master!$C$15),0),0)</f>
        <v>0</v>
      </c>
      <c r="U37" s="1" t="n">
        <f aca="false">IF(U7=1,IF(U5=0,Inputs_Master!$C$41*(Inputs_Master!$C$44-Inputs_Master!$C$20)*((1-(1+Inputs_Master!$C$15)^(-Inputs_Master!$C$45))/Inputs_Master!$C$15),0),0)</f>
        <v>0</v>
      </c>
      <c r="V37" s="1" t="n">
        <f aca="false">IF(V7=1,IF(V5=0,Inputs_Master!$C$41*(Inputs_Master!$C$44-Inputs_Master!$C$20)*((1-(1+Inputs_Master!$C$15)^(-Inputs_Master!$C$45))/Inputs_Master!$C$15),0),0)</f>
        <v>0</v>
      </c>
      <c r="W37" s="1" t="n">
        <f aca="false">IF(W7=1,IF(W5=0,Inputs_Master!$C$41*(Inputs_Master!$C$44-Inputs_Master!$C$20)*((1-(1+Inputs_Master!$C$15)^(-Inputs_Master!$C$45))/Inputs_Master!$C$15),0),0)</f>
        <v>0</v>
      </c>
      <c r="X37" s="1" t="n">
        <f aca="false">IF(X7=1,IF(X5=0,Inputs_Master!$C$41*(Inputs_Master!$C$44-Inputs_Master!$C$20)*((1-(1+Inputs_Master!$C$15)^(-Inputs_Master!$C$45))/Inputs_Master!$C$15),0),0)</f>
        <v>0</v>
      </c>
      <c r="Y37" s="1" t="n">
        <f aca="false">IF(Y7=1,IF(Y5=0,Inputs_Master!$C$41*(Inputs_Master!$C$44-Inputs_Master!$C$20)*((1-(1+Inputs_Master!$C$15)^(-Inputs_Master!$C$45))/Inputs_Master!$C$15),0),0)</f>
        <v>0</v>
      </c>
      <c r="Z37" s="1" t="n">
        <f aca="false">IF(Z7=1,IF(Z5=0,Inputs_Master!$C$41*(Inputs_Master!$C$44-Inputs_Master!$C$20)*((1-(1+Inputs_Master!$C$15)^(-Inputs_Master!$C$45))/Inputs_Master!$C$15),0),0)</f>
        <v>0</v>
      </c>
      <c r="AA37" s="1" t="n">
        <f aca="false">IF(AA7=1,IF(AA5=0,Inputs_Master!$C$41*(Inputs_Master!$C$44-Inputs_Master!$C$20)*((1-(1+Inputs_Master!$C$15)^(-Inputs_Master!$C$45))/Inputs_Master!$C$15),0),0)</f>
        <v>0</v>
      </c>
      <c r="AB37" s="1" t="n">
        <f aca="false">IF(AB7=1,IF(AB5=0,Inputs_Master!$C$41*(Inputs_Master!$C$44-Inputs_Master!$C$20)*((1-(1+Inputs_Master!$C$15)^(-Inputs_Master!$C$45))/Inputs_Master!$C$15),0),0)</f>
        <v>0</v>
      </c>
      <c r="AC37" s="1" t="n">
        <f aca="false">IF(AC7=1,IF(AC5=0,Inputs_Master!$C$41*(Inputs_Master!$C$44-Inputs_Master!$C$20)*((1-(1+Inputs_Master!$C$15)^(-Inputs_Master!$C$45))/Inputs_Master!$C$15),0),0)</f>
        <v>0</v>
      </c>
      <c r="AD37" s="1" t="n">
        <f aca="false">IF(AD7=1,IF(AD5=0,Inputs_Master!$C$41*(Inputs_Master!$C$44-Inputs_Master!$C$20)*((1-(1+Inputs_Master!$C$15)^(-Inputs_Master!$C$45))/Inputs_Master!$C$15),0),0)</f>
        <v>0</v>
      </c>
      <c r="AE37" s="1" t="n">
        <f aca="false">IF(AE7=1,IF(AE5=0,Inputs_Master!$C$41*(Inputs_Master!$C$44-Inputs_Master!$C$20)*((1-(1+Inputs_Master!$C$15)^(-Inputs_Master!$C$45))/Inputs_Master!$C$15),0),0)</f>
        <v>0</v>
      </c>
      <c r="AF37" s="1" t="n">
        <f aca="false">IF(AF7=1,IF(AF5=0,Inputs_Master!$C$41*(Inputs_Master!$C$44-Inputs_Master!$C$20)*((1-(1+Inputs_Master!$C$15)^(-Inputs_Master!$C$45))/Inputs_Master!$C$15),0),0)</f>
        <v>0</v>
      </c>
      <c r="AG37" s="1" t="n">
        <f aca="false">IF(AG7=1,IF(AG5=0,Inputs_Master!$C$41*(Inputs_Master!$C$44-Inputs_Master!$C$20)*((1-(1+Inputs_Master!$C$15)^(-Inputs_Master!$C$45))/Inputs_Master!$C$15),0),0)</f>
        <v>0</v>
      </c>
      <c r="AH37" s="1" t="n">
        <f aca="false">IF(AH7=1,IF(AH5=0,Inputs_Master!$C$41*(Inputs_Master!$C$44-Inputs_Master!$C$20)*((1-(1+Inputs_Master!$C$15)^(-Inputs_Master!$C$45))/Inputs_Master!$C$15),0),0)</f>
        <v>0</v>
      </c>
      <c r="AI37" s="1" t="n">
        <f aca="false">IF(AI7=1,IF(AI5=0,Inputs_Master!$C$41*(Inputs_Master!$C$44-Inputs_Master!$C$20)*((1-(1+Inputs_Master!$C$15)^(-Inputs_Master!$C$45))/Inputs_Master!$C$15),0),0)</f>
        <v>0</v>
      </c>
      <c r="AJ37" s="1" t="n">
        <f aca="false">IF(AJ7=1,IF(AJ5=0,Inputs_Master!$C$41*(Inputs_Master!$C$44-Inputs_Master!$C$20)*((1-(1+Inputs_Master!$C$15)^(-Inputs_Master!$C$45))/Inputs_Master!$C$15),0),0)</f>
        <v>0</v>
      </c>
    </row>
    <row r="38" customFormat="false" ht="15" hidden="false" customHeight="true" outlineLevel="0" collapsed="false">
      <c r="B38" s="20" t="s">
        <v>281</v>
      </c>
      <c r="C38" s="21" t="e">
        <f aca="false">IF(C7=1,C35+C36+C37,0)</f>
        <v>#N/A</v>
      </c>
      <c r="D38" s="21" t="n">
        <f aca="false">IF(D7=1,D35+D36+D37,0)</f>
        <v>0</v>
      </c>
      <c r="E38" s="21" t="n">
        <f aca="false">IF(E7=1,E35+E36+E37,0)</f>
        <v>0</v>
      </c>
      <c r="F38" s="21" t="e">
        <f aca="false">IF(F7=1,F35+F36+F37,0)</f>
        <v>#NUM!</v>
      </c>
      <c r="G38" s="21" t="e">
        <f aca="false">IF(G7=1,G35+G36+G37,0)</f>
        <v>#NUM!</v>
      </c>
      <c r="H38" s="21" t="e">
        <f aca="false">IF(H7=1,H35+H36+H37,0)</f>
        <v>#NUM!</v>
      </c>
      <c r="I38" s="21" t="e">
        <f aca="false">IF(I7=1,I35+I36+I37,0)</f>
        <v>#NUM!</v>
      </c>
      <c r="J38" s="21" t="e">
        <f aca="false">IF(J7=1,J35+J36+J37,0)</f>
        <v>#NUM!</v>
      </c>
      <c r="K38" s="21" t="e">
        <f aca="false">IF(K7=1,K35+K36+K37,0)</f>
        <v>#NUM!</v>
      </c>
      <c r="L38" s="21" t="e">
        <f aca="false">IF(L7=1,L35+L36+L37,0)</f>
        <v>#NUM!</v>
      </c>
      <c r="M38" s="21" t="e">
        <f aca="false">IF(M7=1,M35+M36+M37,0)</f>
        <v>#NUM!</v>
      </c>
      <c r="N38" s="21" t="e">
        <f aca="false">IF(N7=1,N35+N36+N37,0)</f>
        <v>#NUM!</v>
      </c>
      <c r="O38" s="21" t="e">
        <f aca="false">IF(O7=1,O35+O36+O37,0)</f>
        <v>#NUM!</v>
      </c>
      <c r="P38" s="21" t="e">
        <f aca="false">IF(P7=1,P35+P36+P37,0)</f>
        <v>#NUM!</v>
      </c>
      <c r="Q38" s="21" t="e">
        <f aca="false">IF(Q7=1,Q35+Q36+Q37,0)</f>
        <v>#NUM!</v>
      </c>
      <c r="R38" s="21" t="e">
        <f aca="false">IF(R7=1,R35+R36+R37,0)</f>
        <v>#NUM!</v>
      </c>
      <c r="S38" s="21" t="e">
        <f aca="false">IF(S7=1,S35+S36+S37,0)</f>
        <v>#NUM!</v>
      </c>
      <c r="T38" s="21" t="e">
        <f aca="false">IF(T7=1,T35+T36+T37,0)</f>
        <v>#NUM!</v>
      </c>
      <c r="U38" s="21" t="e">
        <f aca="false">IF(U7=1,U35+U36+U37,0)</f>
        <v>#NUM!</v>
      </c>
      <c r="V38" s="21" t="e">
        <f aca="false">IF(V7=1,V35+V36+V37,0)</f>
        <v>#NUM!</v>
      </c>
      <c r="W38" s="21" t="e">
        <f aca="false">IF(W7=1,W35+W36+W37,0)</f>
        <v>#NUM!</v>
      </c>
      <c r="X38" s="21" t="e">
        <f aca="false">IF(X7=1,X35+X36+X37,0)</f>
        <v>#NUM!</v>
      </c>
      <c r="Y38" s="21" t="e">
        <f aca="false">IF(Y7=1,Y35+Y36+Y37,0)</f>
        <v>#NUM!</v>
      </c>
      <c r="Z38" s="21" t="e">
        <f aca="false">IF(Z7=1,Z35+Z36+Z37,0)</f>
        <v>#NUM!</v>
      </c>
      <c r="AA38" s="21" t="e">
        <f aca="false">IF(AA7=1,AA35+AA36+AA37,0)</f>
        <v>#NUM!</v>
      </c>
      <c r="AB38" s="21" t="e">
        <f aca="false">IF(AB7=1,AB35+AB36+AB37,0)</f>
        <v>#NUM!</v>
      </c>
      <c r="AC38" s="21" t="e">
        <f aca="false">IF(AC7=1,AC35+AC36+AC37,0)</f>
        <v>#NUM!</v>
      </c>
      <c r="AD38" s="21" t="e">
        <f aca="false">IF(AD7=1,AD35+AD36+AD37,0)</f>
        <v>#NUM!</v>
      </c>
      <c r="AE38" s="21" t="e">
        <f aca="false">IF(AE7=1,AE35+AE36+AE37,0)</f>
        <v>#NUM!</v>
      </c>
      <c r="AF38" s="21" t="e">
        <f aca="false">IF(AF7=1,AF35+AF36+AF37,0)</f>
        <v>#NUM!</v>
      </c>
      <c r="AG38" s="21" t="e">
        <f aca="false">IF(AG7=1,AG35+AG36+AG37,0)</f>
        <v>#NUM!</v>
      </c>
      <c r="AH38" s="21" t="e">
        <f aca="false">IF(AH7=1,AH35+AH36+AH37,0)</f>
        <v>#NUM!</v>
      </c>
      <c r="AI38" s="21" t="e">
        <f aca="false">IF(AI7=1,AI35+AI36+AI37,0)</f>
        <v>#NUM!</v>
      </c>
      <c r="AJ38" s="21" t="e">
        <f aca="false">IF(AJ7=1,AJ35+AJ36+AJ37,0)</f>
        <v>#NUM!</v>
      </c>
    </row>
    <row r="40" customFormat="false" ht="15" hidden="false" customHeight="true" outlineLevel="0" collapsed="false">
      <c r="B40" s="16" t="s">
        <v>282</v>
      </c>
    </row>
    <row r="41" customFormat="false" ht="15" hidden="false" customHeight="true" outlineLevel="0" collapsed="false">
      <c r="B41" s="1" t="s">
        <v>283</v>
      </c>
      <c r="C41" s="1" t="n">
        <f aca="false">IF(C7=1,IF(C5=Inputs_Master!$C$10,-(Inputs_Master!$C$70+Inputs_Master!$C$28*(Inputs_Master!$C$69-Inputs_Master!$C$10)/Inputs_Master!$C$69),0),0)</f>
        <v>0</v>
      </c>
      <c r="D41" s="1" t="n">
        <f aca="false">IF(D7=1,IF(D5=Inputs_Master!$C$10,-(Inputs_Master!$C$70+Inputs_Master!$C$28*(Inputs_Master!$C$69-Inputs_Master!$C$10)/Inputs_Master!$C$69),0),0)</f>
        <v>0</v>
      </c>
      <c r="E41" s="1" t="n">
        <f aca="false">IF(E7=1,IF(E5=Inputs_Master!$C$10,-(Inputs_Master!$C$70+Inputs_Master!$C$28*(Inputs_Master!$C$69-Inputs_Master!$C$10)/Inputs_Master!$C$69),0),0)</f>
        <v>0</v>
      </c>
      <c r="F41" s="1" t="n">
        <f aca="false">IF(F7=1,IF(F5=Inputs_Master!$C$10,-(Inputs_Master!$C$70+Inputs_Master!$C$28*(Inputs_Master!$C$69-Inputs_Master!$C$10)/Inputs_Master!$C$69),0),0)</f>
        <v>0</v>
      </c>
      <c r="G41" s="1" t="n">
        <f aca="false">IF(G7=1,IF(G5=Inputs_Master!$C$10,-(Inputs_Master!$C$70+Inputs_Master!$C$28*(Inputs_Master!$C$69-Inputs_Master!$C$10)/Inputs_Master!$C$69),0),0)</f>
        <v>0</v>
      </c>
      <c r="H41" s="1" t="n">
        <f aca="false">IF(H7=1,IF(H5=Inputs_Master!$C$10,-(Inputs_Master!$C$70+Inputs_Master!$C$28*(Inputs_Master!$C$69-Inputs_Master!$C$10)/Inputs_Master!$C$69),0),0)</f>
        <v>0</v>
      </c>
      <c r="I41" s="1" t="n">
        <f aca="false">IF(I7=1,IF(I5=Inputs_Master!$C$10,-(Inputs_Master!$C$70+Inputs_Master!$C$28*(Inputs_Master!$C$69-Inputs_Master!$C$10)/Inputs_Master!$C$69),0),0)</f>
        <v>0</v>
      </c>
      <c r="J41" s="1" t="n">
        <f aca="false">IF(J7=1,IF(J5=Inputs_Master!$C$10,-(Inputs_Master!$C$70+Inputs_Master!$C$28*(Inputs_Master!$C$69-Inputs_Master!$C$10)/Inputs_Master!$C$69),0),0)</f>
        <v>0</v>
      </c>
      <c r="K41" s="1" t="n">
        <f aca="false">IF(K7=1,IF(K5=Inputs_Master!$C$10,-(Inputs_Master!$C$70+Inputs_Master!$C$28*(Inputs_Master!$C$69-Inputs_Master!$C$10)/Inputs_Master!$C$69),0),0)</f>
        <v>0</v>
      </c>
      <c r="L41" s="1" t="n">
        <f aca="false">IF(L7=1,IF(L5=Inputs_Master!$C$10,-(Inputs_Master!$C$70+Inputs_Master!$C$28*(Inputs_Master!$C$69-Inputs_Master!$C$10)/Inputs_Master!$C$69),0),0)</f>
        <v>0</v>
      </c>
      <c r="M41" s="1" t="n">
        <f aca="false">IF(M7=1,IF(M5=Inputs_Master!$C$10,-(Inputs_Master!$C$70+Inputs_Master!$C$28*(Inputs_Master!$C$69-Inputs_Master!$C$10)/Inputs_Master!$C$69),0),0)</f>
        <v>0</v>
      </c>
      <c r="N41" s="1" t="n">
        <f aca="false">IF(N7=1,IF(N5=Inputs_Master!$C$10,-(Inputs_Master!$C$70+Inputs_Master!$C$28*(Inputs_Master!$C$69-Inputs_Master!$C$10)/Inputs_Master!$C$69),0),0)</f>
        <v>0</v>
      </c>
      <c r="O41" s="1" t="n">
        <f aca="false">IF(O7=1,IF(O5=Inputs_Master!$C$10,-(Inputs_Master!$C$70+Inputs_Master!$C$28*(Inputs_Master!$C$69-Inputs_Master!$C$10)/Inputs_Master!$C$69),0),0)</f>
        <v>0</v>
      </c>
      <c r="P41" s="1" t="n">
        <f aca="false">IF(P7=1,IF(P5=Inputs_Master!$C$10,-(Inputs_Master!$C$70+Inputs_Master!$C$28*(Inputs_Master!$C$69-Inputs_Master!$C$10)/Inputs_Master!$C$69),0),0)</f>
        <v>0</v>
      </c>
      <c r="Q41" s="1" t="n">
        <f aca="false">IF(Q7=1,IF(Q5=Inputs_Master!$C$10,-(Inputs_Master!$C$70+Inputs_Master!$C$28*(Inputs_Master!$C$69-Inputs_Master!$C$10)/Inputs_Master!$C$69),0),0)</f>
        <v>0</v>
      </c>
      <c r="R41" s="1" t="n">
        <f aca="false">IF(R7=1,IF(R5=Inputs_Master!$C$10,-(Inputs_Master!$C$70+Inputs_Master!$C$28*(Inputs_Master!$C$69-Inputs_Master!$C$10)/Inputs_Master!$C$69),0),0)</f>
        <v>0</v>
      </c>
      <c r="S41" s="1" t="n">
        <f aca="false">IF(S7=1,IF(S5=Inputs_Master!$C$10,-(Inputs_Master!$C$70+Inputs_Master!$C$28*(Inputs_Master!$C$69-Inputs_Master!$C$10)/Inputs_Master!$C$69),0),0)</f>
        <v>0</v>
      </c>
      <c r="T41" s="1" t="n">
        <f aca="false">IF(T7=1,IF(T5=Inputs_Master!$C$10,-(Inputs_Master!$C$70+Inputs_Master!$C$28*(Inputs_Master!$C$69-Inputs_Master!$C$10)/Inputs_Master!$C$69),0),0)</f>
        <v>0</v>
      </c>
      <c r="U41" s="1" t="n">
        <f aca="false">IF(U7=1,IF(U5=Inputs_Master!$C$10,-(Inputs_Master!$C$70+Inputs_Master!$C$28*(Inputs_Master!$C$69-Inputs_Master!$C$10)/Inputs_Master!$C$69),0),0)</f>
        <v>0</v>
      </c>
      <c r="V41" s="1" t="n">
        <f aca="false">IF(V7=1,IF(V5=Inputs_Master!$C$10,-(Inputs_Master!$C$70+Inputs_Master!$C$28*(Inputs_Master!$C$69-Inputs_Master!$C$10)/Inputs_Master!$C$69),0),0)</f>
        <v>0</v>
      </c>
      <c r="W41" s="1" t="n">
        <f aca="false">IF(W7=1,IF(W5=Inputs_Master!$C$10,-(Inputs_Master!$C$70+Inputs_Master!$C$28*(Inputs_Master!$C$69-Inputs_Master!$C$10)/Inputs_Master!$C$69),0),0)</f>
        <v>0</v>
      </c>
      <c r="X41" s="1" t="n">
        <f aca="false">IF(X7=1,IF(X5=Inputs_Master!$C$10,-(Inputs_Master!$C$70+Inputs_Master!$C$28*(Inputs_Master!$C$69-Inputs_Master!$C$10)/Inputs_Master!$C$69),0),0)</f>
        <v>0</v>
      </c>
      <c r="Y41" s="1" t="n">
        <f aca="false">IF(Y7=1,IF(Y5=Inputs_Master!$C$10,-(Inputs_Master!$C$70+Inputs_Master!$C$28*(Inputs_Master!$C$69-Inputs_Master!$C$10)/Inputs_Master!$C$69),0),0)</f>
        <v>0</v>
      </c>
      <c r="Z41" s="1" t="n">
        <f aca="false">IF(Z7=1,IF(Z5=Inputs_Master!$C$10,-(Inputs_Master!$C$70+Inputs_Master!$C$28*(Inputs_Master!$C$69-Inputs_Master!$C$10)/Inputs_Master!$C$69),0),0)</f>
        <v>0</v>
      </c>
      <c r="AA41" s="1" t="n">
        <f aca="false">IF(AA7=1,IF(AA5=Inputs_Master!$C$10,-(Inputs_Master!$C$70+Inputs_Master!$C$28*(Inputs_Master!$C$69-Inputs_Master!$C$10)/Inputs_Master!$C$69),0),0)</f>
        <v>0</v>
      </c>
      <c r="AB41" s="1" t="n">
        <f aca="false">IF(AB7=1,IF(AB5=Inputs_Master!$C$10,-(Inputs_Master!$C$70+Inputs_Master!$C$28*(Inputs_Master!$C$69-Inputs_Master!$C$10)/Inputs_Master!$C$69),0),0)</f>
        <v>0</v>
      </c>
      <c r="AC41" s="1" t="n">
        <f aca="false">IF(AC7=1,IF(AC5=Inputs_Master!$C$10,-(Inputs_Master!$C$70+Inputs_Master!$C$28*(Inputs_Master!$C$69-Inputs_Master!$C$10)/Inputs_Master!$C$69),0),0)</f>
        <v>0</v>
      </c>
      <c r="AD41" s="1" t="n">
        <f aca="false">IF(AD7=1,IF(AD5=Inputs_Master!$C$10,-(Inputs_Master!$C$70+Inputs_Master!$C$28*(Inputs_Master!$C$69-Inputs_Master!$C$10)/Inputs_Master!$C$69),0),0)</f>
        <v>0</v>
      </c>
      <c r="AE41" s="1" t="n">
        <f aca="false">IF(AE7=1,IF(AE5=Inputs_Master!$C$10,-(Inputs_Master!$C$70+Inputs_Master!$C$28*(Inputs_Master!$C$69-Inputs_Master!$C$10)/Inputs_Master!$C$69),0),0)</f>
        <v>0</v>
      </c>
      <c r="AF41" s="1" t="n">
        <f aca="false">IF(AF7=1,IF(AF5=Inputs_Master!$C$10,-(Inputs_Master!$C$70+Inputs_Master!$C$28*(Inputs_Master!$C$69-Inputs_Master!$C$10)/Inputs_Master!$C$69),0),0)</f>
        <v>0</v>
      </c>
      <c r="AG41" s="1" t="n">
        <f aca="false">IF(AG7=1,IF(AG5=Inputs_Master!$C$10,-(Inputs_Master!$C$70+Inputs_Master!$C$28*(Inputs_Master!$C$69-Inputs_Master!$C$10)/Inputs_Master!$C$69),0),0)</f>
        <v>0</v>
      </c>
      <c r="AH41" s="1" t="n">
        <f aca="false">IF(AH7=1,IF(AH5=Inputs_Master!$C$10,-(Inputs_Master!$C$70+Inputs_Master!$C$28*(Inputs_Master!$C$69-Inputs_Master!$C$10)/Inputs_Master!$C$69),0),0)</f>
        <v>0</v>
      </c>
      <c r="AI41" s="1" t="n">
        <f aca="false">IF(AI7=1,IF(AI5=Inputs_Master!$C$10,-(Inputs_Master!$C$70+Inputs_Master!$C$28*(Inputs_Master!$C$69-Inputs_Master!$C$10)/Inputs_Master!$C$69),0),0)</f>
        <v>0</v>
      </c>
      <c r="AJ41" s="1" t="n">
        <f aca="false">IF(AJ7=1,IF(AJ5=Inputs_Master!$C$10,-(Inputs_Master!$C$70+Inputs_Master!$C$28*(Inputs_Master!$C$69-Inputs_Master!$C$10)/Inputs_Master!$C$69),0),0)</f>
        <v>972</v>
      </c>
    </row>
    <row r="43" customFormat="false" ht="15" hidden="false" customHeight="true" outlineLevel="0" collapsed="false">
      <c r="B43" s="16" t="s">
        <v>284</v>
      </c>
    </row>
    <row r="44" customFormat="false" ht="15" hidden="false" customHeight="true" outlineLevel="0" collapsed="false">
      <c r="B44" s="1" t="s">
        <v>285</v>
      </c>
      <c r="C44" s="1" t="e">
        <f aca="false">IF(C7=1,C16+C26+C32+C38+C41,0)</f>
        <v>#N/A</v>
      </c>
      <c r="D44" s="1" t="n">
        <f aca="false">IF(D7=1,D16+D26+D32+D38+D41,0)</f>
        <v>8.9128736040404</v>
      </c>
      <c r="E44" s="1" t="n">
        <f aca="false">IF(E7=1,E16+E26+E32+E38+E41,0)</f>
        <v>8.7165404040404</v>
      </c>
      <c r="F44" s="1" t="e">
        <f aca="false">IF(F7=1,F16+F26+F32+F38+F41,0)</f>
        <v>#N/A</v>
      </c>
      <c r="G44" s="1" t="e">
        <f aca="false">IF(G7=1,G16+G26+G32+G38+G41,0)</f>
        <v>#N/A</v>
      </c>
      <c r="H44" s="1" t="e">
        <f aca="false">IF(H7=1,H16+H26+H32+H38+H41,0)</f>
        <v>#N/A</v>
      </c>
      <c r="I44" s="1" t="e">
        <f aca="false">IF(I7=1,I16+I26+I32+I38+I41,0)</f>
        <v>#N/A</v>
      </c>
      <c r="J44" s="1" t="e">
        <f aca="false">IF(J7=1,J16+J26+J32+J38+J41,0)</f>
        <v>#N/A</v>
      </c>
      <c r="K44" s="1" t="e">
        <f aca="false">IF(K7=1,K16+K26+K32+K38+K41,0)</f>
        <v>#N/A</v>
      </c>
      <c r="L44" s="1" t="e">
        <f aca="false">IF(L7=1,L16+L26+L32+L38+L41,0)</f>
        <v>#N/A</v>
      </c>
      <c r="M44" s="1" t="e">
        <f aca="false">IF(M7=1,M16+M26+M32+M38+M41,0)</f>
        <v>#N/A</v>
      </c>
      <c r="N44" s="1" t="e">
        <f aca="false">IF(N7=1,N16+N26+N32+N38+N41,0)</f>
        <v>#N/A</v>
      </c>
      <c r="O44" s="1" t="e">
        <f aca="false">IF(O7=1,O16+O26+O32+O38+O41,0)</f>
        <v>#N/A</v>
      </c>
      <c r="P44" s="1" t="e">
        <f aca="false">IF(P7=1,P16+P26+P32+P38+P41,0)</f>
        <v>#N/A</v>
      </c>
      <c r="Q44" s="1" t="e">
        <f aca="false">IF(Q7=1,Q16+Q26+Q32+Q38+Q41,0)</f>
        <v>#N/A</v>
      </c>
      <c r="R44" s="1" t="e">
        <f aca="false">IF(R7=1,R16+R26+R32+R38+R41,0)</f>
        <v>#N/A</v>
      </c>
      <c r="S44" s="1" t="e">
        <f aca="false">IF(S7=1,S16+S26+S32+S38+S41,0)</f>
        <v>#N/A</v>
      </c>
      <c r="T44" s="1" t="e">
        <f aca="false">IF(T7=1,T16+T26+T32+T38+T41,0)</f>
        <v>#N/A</v>
      </c>
      <c r="U44" s="1" t="e">
        <f aca="false">IF(U7=1,U16+U26+U32+U38+U41,0)</f>
        <v>#N/A</v>
      </c>
      <c r="V44" s="1" t="e">
        <f aca="false">IF(V7=1,V16+V26+V32+V38+V41,0)</f>
        <v>#N/A</v>
      </c>
      <c r="W44" s="1" t="e">
        <f aca="false">IF(W7=1,W16+W26+W32+W38+W41,0)</f>
        <v>#N/A</v>
      </c>
      <c r="X44" s="1" t="e">
        <f aca="false">IF(X7=1,X16+X26+X32+X38+X41,0)</f>
        <v>#N/A</v>
      </c>
      <c r="Y44" s="1" t="e">
        <f aca="false">IF(Y7=1,Y16+Y26+Y32+Y38+Y41,0)</f>
        <v>#N/A</v>
      </c>
      <c r="Z44" s="1" t="e">
        <f aca="false">IF(Z7=1,Z16+Z26+Z32+Z38+Z41,0)</f>
        <v>#N/A</v>
      </c>
      <c r="AA44" s="1" t="e">
        <f aca="false">IF(AA7=1,AA16+AA26+AA32+AA38+AA41,0)</f>
        <v>#N/A</v>
      </c>
      <c r="AB44" s="1" t="e">
        <f aca="false">IF(AB7=1,AB16+AB26+AB32+AB38+AB41,0)</f>
        <v>#N/A</v>
      </c>
      <c r="AC44" s="1" t="e">
        <f aca="false">IF(AC7=1,AC16+AC26+AC32+AC38+AC41,0)</f>
        <v>#N/A</v>
      </c>
      <c r="AD44" s="1" t="e">
        <f aca="false">IF(AD7=1,AD16+AD26+AD32+AD38+AD41,0)</f>
        <v>#N/A</v>
      </c>
      <c r="AE44" s="1" t="e">
        <f aca="false">IF(AE7=1,AE16+AE26+AE32+AE38+AE41,0)</f>
        <v>#N/A</v>
      </c>
      <c r="AF44" s="1" t="e">
        <f aca="false">IF(AF7=1,AF16+AF26+AF32+AF38+AF41,0)</f>
        <v>#N/A</v>
      </c>
      <c r="AG44" s="1" t="e">
        <f aca="false">IF(AG7=1,AG16+AG26+AG32+AG38+AG41,0)</f>
        <v>#N/A</v>
      </c>
      <c r="AH44" s="1" t="e">
        <f aca="false">IF(AH7=1,AH16+AH26+AH32+AH38+AH41,0)</f>
        <v>#N/A</v>
      </c>
      <c r="AI44" s="1" t="e">
        <f aca="false">IF(AI7=1,AI16+AI26+AI32+AI38+AI41,0)</f>
        <v>#N/A</v>
      </c>
      <c r="AJ44" s="1" t="e">
        <f aca="false">IF(AJ7=1,AJ16+AJ26+AJ32+AJ38+AJ41,0)</f>
        <v>#N/A</v>
      </c>
    </row>
    <row r="45" customFormat="false" ht="15" hidden="false" customHeight="true" outlineLevel="0" collapsed="false">
      <c r="B45" s="1" t="s">
        <v>286</v>
      </c>
      <c r="C45" s="1" t="e">
        <f aca="false">IF(C7=1,1/POWER(1+Inputs_Master!$C$16,C5),0)</f>
        <v>#N/A</v>
      </c>
      <c r="D45" s="1" t="e">
        <f aca="false">IF(D7=1,1/POWER(1+Inputs_Master!$C$16,D5),0)</f>
        <v>#N/A</v>
      </c>
      <c r="E45" s="1" t="e">
        <f aca="false">IF(E7=1,1/POWER(1+Inputs_Master!$C$16,E5),0)</f>
        <v>#N/A</v>
      </c>
      <c r="F45" s="1" t="e">
        <f aca="false">IF(F7=1,1/POWER(1+Inputs_Master!$C$16,F5),0)</f>
        <v>#N/A</v>
      </c>
      <c r="G45" s="1" t="e">
        <f aca="false">IF(G7=1,1/POWER(1+Inputs_Master!$C$16,G5),0)</f>
        <v>#N/A</v>
      </c>
      <c r="H45" s="1" t="e">
        <f aca="false">IF(H7=1,1/POWER(1+Inputs_Master!$C$16,H5),0)</f>
        <v>#N/A</v>
      </c>
      <c r="I45" s="1" t="e">
        <f aca="false">IF(I7=1,1/POWER(1+Inputs_Master!$C$16,I5),0)</f>
        <v>#N/A</v>
      </c>
      <c r="J45" s="1" t="e">
        <f aca="false">IF(J7=1,1/POWER(1+Inputs_Master!$C$16,J5),0)</f>
        <v>#N/A</v>
      </c>
      <c r="K45" s="1" t="e">
        <f aca="false">IF(K7=1,1/POWER(1+Inputs_Master!$C$16,K5),0)</f>
        <v>#N/A</v>
      </c>
      <c r="L45" s="1" t="e">
        <f aca="false">IF(L7=1,1/POWER(1+Inputs_Master!$C$16,L5),0)</f>
        <v>#N/A</v>
      </c>
      <c r="M45" s="1" t="e">
        <f aca="false">IF(M7=1,1/POWER(1+Inputs_Master!$C$16,M5),0)</f>
        <v>#N/A</v>
      </c>
      <c r="N45" s="1" t="e">
        <f aca="false">IF(N7=1,1/POWER(1+Inputs_Master!$C$16,N5),0)</f>
        <v>#N/A</v>
      </c>
      <c r="O45" s="1" t="e">
        <f aca="false">IF(O7=1,1/POWER(1+Inputs_Master!$C$16,O5),0)</f>
        <v>#N/A</v>
      </c>
      <c r="P45" s="1" t="e">
        <f aca="false">IF(P7=1,1/POWER(1+Inputs_Master!$C$16,P5),0)</f>
        <v>#N/A</v>
      </c>
      <c r="Q45" s="1" t="e">
        <f aca="false">IF(Q7=1,1/POWER(1+Inputs_Master!$C$16,Q5),0)</f>
        <v>#N/A</v>
      </c>
      <c r="R45" s="1" t="e">
        <f aca="false">IF(R7=1,1/POWER(1+Inputs_Master!$C$16,R5),0)</f>
        <v>#N/A</v>
      </c>
      <c r="S45" s="1" t="e">
        <f aca="false">IF(S7=1,1/POWER(1+Inputs_Master!$C$16,S5),0)</f>
        <v>#N/A</v>
      </c>
      <c r="T45" s="1" t="e">
        <f aca="false">IF(T7=1,1/POWER(1+Inputs_Master!$C$16,T5),0)</f>
        <v>#N/A</v>
      </c>
      <c r="U45" s="1" t="e">
        <f aca="false">IF(U7=1,1/POWER(1+Inputs_Master!$C$16,U5),0)</f>
        <v>#N/A</v>
      </c>
      <c r="V45" s="1" t="e">
        <f aca="false">IF(V7=1,1/POWER(1+Inputs_Master!$C$16,V5),0)</f>
        <v>#N/A</v>
      </c>
      <c r="W45" s="1" t="e">
        <f aca="false">IF(W7=1,1/POWER(1+Inputs_Master!$C$16,W5),0)</f>
        <v>#N/A</v>
      </c>
      <c r="X45" s="1" t="e">
        <f aca="false">IF(X7=1,1/POWER(1+Inputs_Master!$C$16,X5),0)</f>
        <v>#N/A</v>
      </c>
      <c r="Y45" s="1" t="e">
        <f aca="false">IF(Y7=1,1/POWER(1+Inputs_Master!$C$16,Y5),0)</f>
        <v>#N/A</v>
      </c>
      <c r="Z45" s="1" t="e">
        <f aca="false">IF(Z7=1,1/POWER(1+Inputs_Master!$C$16,Z5),0)</f>
        <v>#N/A</v>
      </c>
      <c r="AA45" s="1" t="e">
        <f aca="false">IF(AA7=1,1/POWER(1+Inputs_Master!$C$16,AA5),0)</f>
        <v>#N/A</v>
      </c>
      <c r="AB45" s="1" t="e">
        <f aca="false">IF(AB7=1,1/POWER(1+Inputs_Master!$C$16,AB5),0)</f>
        <v>#N/A</v>
      </c>
      <c r="AC45" s="1" t="e">
        <f aca="false">IF(AC7=1,1/POWER(1+Inputs_Master!$C$16,AC5),0)</f>
        <v>#N/A</v>
      </c>
      <c r="AD45" s="1" t="e">
        <f aca="false">IF(AD7=1,1/POWER(1+Inputs_Master!$C$16,AD5),0)</f>
        <v>#N/A</v>
      </c>
      <c r="AE45" s="1" t="e">
        <f aca="false">IF(AE7=1,1/POWER(1+Inputs_Master!$C$16,AE5),0)</f>
        <v>#N/A</v>
      </c>
      <c r="AF45" s="1" t="e">
        <f aca="false">IF(AF7=1,1/POWER(1+Inputs_Master!$C$16,AF5),0)</f>
        <v>#N/A</v>
      </c>
      <c r="AG45" s="1" t="e">
        <f aca="false">IF(AG7=1,1/POWER(1+Inputs_Master!$C$16,AG5),0)</f>
        <v>#N/A</v>
      </c>
      <c r="AH45" s="1" t="e">
        <f aca="false">IF(AH7=1,1/POWER(1+Inputs_Master!$C$16,AH5),0)</f>
        <v>#N/A</v>
      </c>
      <c r="AI45" s="1" t="e">
        <f aca="false">IF(AI7=1,1/POWER(1+Inputs_Master!$C$16,AI5),0)</f>
        <v>#N/A</v>
      </c>
      <c r="AJ45" s="1" t="e">
        <f aca="false">IF(AJ7=1,1/POWER(1+Inputs_Master!$C$16,AJ5),0)</f>
        <v>#N/A</v>
      </c>
    </row>
    <row r="46" customFormat="false" ht="15" hidden="false" customHeight="true" outlineLevel="0" collapsed="false">
      <c r="B46" s="1" t="s">
        <v>287</v>
      </c>
      <c r="C46" s="12" t="e">
        <f aca="false">IF(C7=1,C44*C45,0)</f>
        <v>#N/A</v>
      </c>
      <c r="D46" s="12" t="e">
        <f aca="false">IF(D7=1,D44*D45,0)</f>
        <v>#N/A</v>
      </c>
      <c r="E46" s="12" t="e">
        <f aca="false">IF(E7=1,E44*E45,0)</f>
        <v>#N/A</v>
      </c>
      <c r="F46" s="12" t="e">
        <f aca="false">IF(F7=1,F44*F45,0)</f>
        <v>#N/A</v>
      </c>
      <c r="G46" s="12" t="e">
        <f aca="false">IF(G7=1,G44*G45,0)</f>
        <v>#N/A</v>
      </c>
      <c r="H46" s="12" t="e">
        <f aca="false">IF(H7=1,H44*H45,0)</f>
        <v>#N/A</v>
      </c>
      <c r="I46" s="12" t="e">
        <f aca="false">IF(I7=1,I44*I45,0)</f>
        <v>#N/A</v>
      </c>
      <c r="J46" s="12" t="e">
        <f aca="false">IF(J7=1,J44*J45,0)</f>
        <v>#N/A</v>
      </c>
      <c r="K46" s="12" t="e">
        <f aca="false">IF(K7=1,K44*K45,0)</f>
        <v>#N/A</v>
      </c>
      <c r="L46" s="12" t="e">
        <f aca="false">IF(L7=1,L44*L45,0)</f>
        <v>#N/A</v>
      </c>
      <c r="M46" s="12" t="e">
        <f aca="false">IF(M7=1,M44*M45,0)</f>
        <v>#N/A</v>
      </c>
      <c r="N46" s="12" t="e">
        <f aca="false">IF(N7=1,N44*N45,0)</f>
        <v>#N/A</v>
      </c>
      <c r="O46" s="12" t="e">
        <f aca="false">IF(O7=1,O44*O45,0)</f>
        <v>#N/A</v>
      </c>
      <c r="P46" s="12" t="e">
        <f aca="false">IF(P7=1,P44*P45,0)</f>
        <v>#N/A</v>
      </c>
      <c r="Q46" s="12" t="e">
        <f aca="false">IF(Q7=1,Q44*Q45,0)</f>
        <v>#N/A</v>
      </c>
      <c r="R46" s="12" t="e">
        <f aca="false">IF(R7=1,R44*R45,0)</f>
        <v>#N/A</v>
      </c>
      <c r="S46" s="12" t="e">
        <f aca="false">IF(S7=1,S44*S45,0)</f>
        <v>#N/A</v>
      </c>
      <c r="T46" s="12" t="e">
        <f aca="false">IF(T7=1,T44*T45,0)</f>
        <v>#N/A</v>
      </c>
      <c r="U46" s="12" t="e">
        <f aca="false">IF(U7=1,U44*U45,0)</f>
        <v>#N/A</v>
      </c>
      <c r="V46" s="12" t="e">
        <f aca="false">IF(V7=1,V44*V45,0)</f>
        <v>#N/A</v>
      </c>
      <c r="W46" s="12" t="e">
        <f aca="false">IF(W7=1,W44*W45,0)</f>
        <v>#N/A</v>
      </c>
      <c r="X46" s="12" t="e">
        <f aca="false">IF(X7=1,X44*X45,0)</f>
        <v>#N/A</v>
      </c>
      <c r="Y46" s="12" t="e">
        <f aca="false">IF(Y7=1,Y44*Y45,0)</f>
        <v>#N/A</v>
      </c>
      <c r="Z46" s="12" t="e">
        <f aca="false">IF(Z7=1,Z44*Z45,0)</f>
        <v>#N/A</v>
      </c>
      <c r="AA46" s="12" t="e">
        <f aca="false">IF(AA7=1,AA44*AA45,0)</f>
        <v>#N/A</v>
      </c>
      <c r="AB46" s="12" t="e">
        <f aca="false">IF(AB7=1,AB44*AB45,0)</f>
        <v>#N/A</v>
      </c>
      <c r="AC46" s="12" t="e">
        <f aca="false">IF(AC7=1,AC44*AC45,0)</f>
        <v>#N/A</v>
      </c>
      <c r="AD46" s="12" t="e">
        <f aca="false">IF(AD7=1,AD44*AD45,0)</f>
        <v>#N/A</v>
      </c>
      <c r="AE46" s="12" t="e">
        <f aca="false">IF(AE7=1,AE44*AE45,0)</f>
        <v>#N/A</v>
      </c>
      <c r="AF46" s="12" t="e">
        <f aca="false">IF(AF7=1,AF44*AF45,0)</f>
        <v>#N/A</v>
      </c>
      <c r="AG46" s="12" t="e">
        <f aca="false">IF(AG7=1,AG44*AG45,0)</f>
        <v>#N/A</v>
      </c>
      <c r="AH46" s="12" t="e">
        <f aca="false">IF(AH7=1,AH44*AH45,0)</f>
        <v>#N/A</v>
      </c>
      <c r="AI46" s="12" t="e">
        <f aca="false">IF(AI7=1,AI44*AI45,0)</f>
        <v>#N/A</v>
      </c>
      <c r="AJ46" s="12" t="e">
        <f aca="false">IF(AJ7=1,AJ44*AJ45,0)</f>
        <v>#N/A</v>
      </c>
    </row>
    <row r="48" customFormat="false" ht="15" hidden="false" customHeight="true" outlineLevel="0" collapsed="false">
      <c r="B48" s="9" t="s">
        <v>288</v>
      </c>
      <c r="C48" s="23" t="e">
        <f aca="false">SUM(C46:AJ46)</f>
        <v>#N/A</v>
      </c>
    </row>
    <row r="50" customFormat="false" ht="15" hidden="false" customHeight="true" outlineLevel="0" collapsed="false">
      <c r="B50" s="20" t="s">
        <v>289</v>
      </c>
    </row>
    <row r="51" customFormat="false" ht="15" hidden="false" customHeight="true" outlineLevel="0" collapsed="false">
      <c r="B51" s="1" t="s">
        <v>290</v>
      </c>
      <c r="C51" s="1" t="e">
        <f aca="false">SUMPRODUCT(C16:AJ16,C45:AJ45)</f>
        <v>#N/A</v>
      </c>
    </row>
    <row r="52" customFormat="false" ht="15" hidden="false" customHeight="true" outlineLevel="0" collapsed="false">
      <c r="B52" s="1" t="s">
        <v>291</v>
      </c>
      <c r="C52" s="1" t="e">
        <f aca="false">SUMPRODUCT(C26:AJ26,C45:AJ45)-SUMPRODUCT(C24:AJ24,C45:AJ45)</f>
        <v>#N/A</v>
      </c>
    </row>
    <row r="53" customFormat="false" ht="15" hidden="false" customHeight="true" outlineLevel="0" collapsed="false">
      <c r="B53" s="1" t="s">
        <v>292</v>
      </c>
      <c r="C53" s="1" t="e">
        <f aca="false">SUMPRODUCT(C24:AJ24,C45:AJ45)</f>
        <v>#N/A</v>
      </c>
    </row>
    <row r="54" customFormat="false" ht="15" hidden="false" customHeight="true" outlineLevel="0" collapsed="false">
      <c r="B54" s="1" t="s">
        <v>293</v>
      </c>
      <c r="C54" s="1" t="e">
        <f aca="false">SUMPRODUCT(C32:AJ32,C45:AJ45)</f>
        <v>#N/A</v>
      </c>
    </row>
    <row r="55" customFormat="false" ht="15" hidden="false" customHeight="true" outlineLevel="0" collapsed="false">
      <c r="B55" s="1" t="s">
        <v>294</v>
      </c>
      <c r="C55" s="1" t="e">
        <f aca="false">SUMPRODUCT(C38:AJ38,C45:AJ45)</f>
        <v>#N/A</v>
      </c>
    </row>
    <row r="56" customFormat="false" ht="15" hidden="false" customHeight="true" outlineLevel="0" collapsed="false">
      <c r="B56" s="1" t="s">
        <v>295</v>
      </c>
      <c r="C56" s="1" t="e">
        <f aca="false">SUMPRODUCT(C41:AJ41,C45:AJ45)</f>
        <v>#N/A</v>
      </c>
    </row>
  </sheetData>
  <mergeCells count="1">
    <mergeCell ref="B2:A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6" min="3" style="1" width="11"/>
  </cols>
  <sheetData>
    <row r="2" customFormat="false" ht="17.25" hidden="false" customHeight="true" outlineLevel="0" collapsed="false">
      <c r="B2" s="8" t="s">
        <v>296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5" customFormat="false" ht="15" hidden="false" customHeight="true" outlineLevel="0" collapsed="false">
      <c r="B5" s="1" t="s">
        <v>251</v>
      </c>
      <c r="C5" s="1" t="n">
        <v>0</v>
      </c>
      <c r="D5" s="1" t="n">
        <v>1</v>
      </c>
      <c r="E5" s="1" t="n">
        <v>2</v>
      </c>
      <c r="F5" s="1" t="n">
        <v>3</v>
      </c>
      <c r="G5" s="1" t="n">
        <v>4</v>
      </c>
      <c r="H5" s="1" t="n">
        <v>5</v>
      </c>
      <c r="I5" s="1" t="n">
        <v>6</v>
      </c>
      <c r="J5" s="1" t="n">
        <v>7</v>
      </c>
      <c r="K5" s="1" t="n">
        <v>8</v>
      </c>
      <c r="L5" s="1" t="n">
        <v>9</v>
      </c>
      <c r="M5" s="1" t="n">
        <v>10</v>
      </c>
      <c r="N5" s="1" t="n">
        <v>11</v>
      </c>
      <c r="O5" s="1" t="n">
        <v>12</v>
      </c>
      <c r="P5" s="1" t="n">
        <v>13</v>
      </c>
      <c r="Q5" s="1" t="n">
        <v>14</v>
      </c>
      <c r="R5" s="1" t="n">
        <v>15</v>
      </c>
      <c r="S5" s="1" t="n">
        <v>16</v>
      </c>
      <c r="T5" s="1" t="n">
        <v>17</v>
      </c>
      <c r="U5" s="1" t="n">
        <v>18</v>
      </c>
      <c r="V5" s="1" t="n">
        <v>19</v>
      </c>
      <c r="W5" s="1" t="n">
        <v>20</v>
      </c>
      <c r="X5" s="1" t="n">
        <v>21</v>
      </c>
      <c r="Y5" s="1" t="n">
        <v>22</v>
      </c>
      <c r="Z5" s="1" t="n">
        <v>23</v>
      </c>
      <c r="AA5" s="1" t="n">
        <v>24</v>
      </c>
      <c r="AB5" s="1" t="n">
        <v>25</v>
      </c>
      <c r="AC5" s="1" t="n">
        <v>26</v>
      </c>
      <c r="AD5" s="1" t="n">
        <v>27</v>
      </c>
      <c r="AE5" s="1" t="n">
        <v>28</v>
      </c>
      <c r="AF5" s="1" t="n">
        <v>29</v>
      </c>
      <c r="AG5" s="1" t="n">
        <v>30</v>
      </c>
      <c r="AH5" s="1" t="n">
        <v>31</v>
      </c>
      <c r="AI5" s="1" t="n">
        <v>32</v>
      </c>
      <c r="AJ5" s="1" t="n">
        <v>33</v>
      </c>
    </row>
    <row r="6" customFormat="false" ht="15" hidden="false" customHeight="true" outlineLevel="0" collapsed="false">
      <c r="B6" s="1" t="s">
        <v>252</v>
      </c>
      <c r="C6" s="1" t="str">
        <f aca="false">IF(C5&lt;Inputs_Master!$C$8,"Construction","Operating")</f>
        <v>Construction</v>
      </c>
      <c r="D6" s="1" t="str">
        <f aca="false">IF(D5&lt;Inputs_Master!$C$8,"Construction","Operating")</f>
        <v>Construction</v>
      </c>
      <c r="E6" s="1" t="str">
        <f aca="false">IF(E5&lt;Inputs_Master!$C$8,"Construction","Operating")</f>
        <v>Construction</v>
      </c>
      <c r="F6" s="1" t="str">
        <f aca="false">IF(F5&lt;Inputs_Master!$C$8,"Construction","Operating")</f>
        <v>Operating</v>
      </c>
      <c r="G6" s="1" t="str">
        <f aca="false">IF(G5&lt;Inputs_Master!$C$8,"Construction","Operating")</f>
        <v>Operating</v>
      </c>
      <c r="H6" s="1" t="str">
        <f aca="false">IF(H5&lt;Inputs_Master!$C$8,"Construction","Operating")</f>
        <v>Operating</v>
      </c>
      <c r="I6" s="1" t="str">
        <f aca="false">IF(I5&lt;Inputs_Master!$C$8,"Construction","Operating")</f>
        <v>Operating</v>
      </c>
      <c r="J6" s="1" t="str">
        <f aca="false">IF(J5&lt;Inputs_Master!$C$8,"Construction","Operating")</f>
        <v>Operating</v>
      </c>
      <c r="K6" s="1" t="str">
        <f aca="false">IF(K5&lt;Inputs_Master!$C$8,"Construction","Operating")</f>
        <v>Operating</v>
      </c>
      <c r="L6" s="1" t="str">
        <f aca="false">IF(L5&lt;Inputs_Master!$C$8,"Construction","Operating")</f>
        <v>Operating</v>
      </c>
      <c r="M6" s="1" t="str">
        <f aca="false">IF(M5&lt;Inputs_Master!$C$8,"Construction","Operating")</f>
        <v>Operating</v>
      </c>
      <c r="N6" s="1" t="str">
        <f aca="false">IF(N5&lt;Inputs_Master!$C$8,"Construction","Operating")</f>
        <v>Operating</v>
      </c>
      <c r="O6" s="1" t="str">
        <f aca="false">IF(O5&lt;Inputs_Master!$C$8,"Construction","Operating")</f>
        <v>Operating</v>
      </c>
      <c r="P6" s="1" t="str">
        <f aca="false">IF(P5&lt;Inputs_Master!$C$8,"Construction","Operating")</f>
        <v>Operating</v>
      </c>
      <c r="Q6" s="1" t="str">
        <f aca="false">IF(Q5&lt;Inputs_Master!$C$8,"Construction","Operating")</f>
        <v>Operating</v>
      </c>
      <c r="R6" s="1" t="str">
        <f aca="false">IF(R5&lt;Inputs_Master!$C$8,"Construction","Operating")</f>
        <v>Operating</v>
      </c>
      <c r="S6" s="1" t="str">
        <f aca="false">IF(S5&lt;Inputs_Master!$C$8,"Construction","Operating")</f>
        <v>Operating</v>
      </c>
      <c r="T6" s="1" t="str">
        <f aca="false">IF(T5&lt;Inputs_Master!$C$8,"Construction","Operating")</f>
        <v>Operating</v>
      </c>
      <c r="U6" s="1" t="str">
        <f aca="false">IF(U5&lt;Inputs_Master!$C$8,"Construction","Operating")</f>
        <v>Operating</v>
      </c>
      <c r="V6" s="1" t="str">
        <f aca="false">IF(V5&lt;Inputs_Master!$C$8,"Construction","Operating")</f>
        <v>Operating</v>
      </c>
      <c r="W6" s="1" t="str">
        <f aca="false">IF(W5&lt;Inputs_Master!$C$8,"Construction","Operating")</f>
        <v>Operating</v>
      </c>
      <c r="X6" s="1" t="str">
        <f aca="false">IF(X5&lt;Inputs_Master!$C$8,"Construction","Operating")</f>
        <v>Operating</v>
      </c>
      <c r="Y6" s="1" t="str">
        <f aca="false">IF(Y5&lt;Inputs_Master!$C$8,"Construction","Operating")</f>
        <v>Operating</v>
      </c>
      <c r="Z6" s="1" t="str">
        <f aca="false">IF(Z5&lt;Inputs_Master!$C$8,"Construction","Operating")</f>
        <v>Operating</v>
      </c>
      <c r="AA6" s="1" t="str">
        <f aca="false">IF(AA5&lt;Inputs_Master!$C$8,"Construction","Operating")</f>
        <v>Operating</v>
      </c>
      <c r="AB6" s="1" t="str">
        <f aca="false">IF(AB5&lt;Inputs_Master!$C$8,"Construction","Operating")</f>
        <v>Operating</v>
      </c>
      <c r="AC6" s="1" t="str">
        <f aca="false">IF(AC5&lt;Inputs_Master!$C$8,"Construction","Operating")</f>
        <v>Operating</v>
      </c>
      <c r="AD6" s="1" t="str">
        <f aca="false">IF(AD5&lt;Inputs_Master!$C$8,"Construction","Operating")</f>
        <v>Operating</v>
      </c>
      <c r="AE6" s="1" t="str">
        <f aca="false">IF(AE5&lt;Inputs_Master!$C$8,"Construction","Operating")</f>
        <v>Operating</v>
      </c>
      <c r="AF6" s="1" t="str">
        <f aca="false">IF(AF5&lt;Inputs_Master!$C$8,"Construction","Operating")</f>
        <v>Operating</v>
      </c>
      <c r="AG6" s="1" t="str">
        <f aca="false">IF(AG5&lt;Inputs_Master!$C$8,"Construction","Operating")</f>
        <v>Operating</v>
      </c>
      <c r="AH6" s="1" t="str">
        <f aca="false">IF(AH5&lt;Inputs_Master!$C$8,"Construction","Operating")</f>
        <v>Operating</v>
      </c>
      <c r="AI6" s="1" t="str">
        <f aca="false">IF(AI5&lt;Inputs_Master!$C$8,"Construction","Operating")</f>
        <v>Operating</v>
      </c>
      <c r="AJ6" s="1" t="str">
        <f aca="false">IF(AJ5&lt;Inputs_Master!$C$8,"Construction","Operating")</f>
        <v>Operating</v>
      </c>
    </row>
    <row r="7" customFormat="false" ht="15" hidden="false" customHeight="true" outlineLevel="0" collapsed="false">
      <c r="B7" s="1" t="s">
        <v>253</v>
      </c>
      <c r="C7" s="1" t="n">
        <f aca="false">IF(C5&lt;=Inputs_Master!$C$10,1,0)</f>
        <v>1</v>
      </c>
      <c r="D7" s="1" t="n">
        <f aca="false">IF(D5&lt;=Inputs_Master!$C$10,1,0)</f>
        <v>1</v>
      </c>
      <c r="E7" s="1" t="n">
        <f aca="false">IF(E5&lt;=Inputs_Master!$C$10,1,0)</f>
        <v>1</v>
      </c>
      <c r="F7" s="1" t="n">
        <f aca="false">IF(F5&lt;=Inputs_Master!$C$10,1,0)</f>
        <v>1</v>
      </c>
      <c r="G7" s="1" t="n">
        <f aca="false">IF(G5&lt;=Inputs_Master!$C$10,1,0)</f>
        <v>1</v>
      </c>
      <c r="H7" s="1" t="n">
        <f aca="false">IF(H5&lt;=Inputs_Master!$C$10,1,0)</f>
        <v>1</v>
      </c>
      <c r="I7" s="1" t="n">
        <f aca="false">IF(I5&lt;=Inputs_Master!$C$10,1,0)</f>
        <v>1</v>
      </c>
      <c r="J7" s="1" t="n">
        <f aca="false">IF(J5&lt;=Inputs_Master!$C$10,1,0)</f>
        <v>1</v>
      </c>
      <c r="K7" s="1" t="n">
        <f aca="false">IF(K5&lt;=Inputs_Master!$C$10,1,0)</f>
        <v>1</v>
      </c>
      <c r="L7" s="1" t="n">
        <f aca="false">IF(L5&lt;=Inputs_Master!$C$10,1,0)</f>
        <v>1</v>
      </c>
      <c r="M7" s="1" t="n">
        <f aca="false">IF(M5&lt;=Inputs_Master!$C$10,1,0)</f>
        <v>1</v>
      </c>
      <c r="N7" s="1" t="n">
        <f aca="false">IF(N5&lt;=Inputs_Master!$C$10,1,0)</f>
        <v>1</v>
      </c>
      <c r="O7" s="1" t="n">
        <f aca="false">IF(O5&lt;=Inputs_Master!$C$10,1,0)</f>
        <v>1</v>
      </c>
      <c r="P7" s="1" t="n">
        <f aca="false">IF(P5&lt;=Inputs_Master!$C$10,1,0)</f>
        <v>1</v>
      </c>
      <c r="Q7" s="1" t="n">
        <f aca="false">IF(Q5&lt;=Inputs_Master!$C$10,1,0)</f>
        <v>1</v>
      </c>
      <c r="R7" s="1" t="n">
        <f aca="false">IF(R5&lt;=Inputs_Master!$C$10,1,0)</f>
        <v>1</v>
      </c>
      <c r="S7" s="1" t="n">
        <f aca="false">IF(S5&lt;=Inputs_Master!$C$10,1,0)</f>
        <v>1</v>
      </c>
      <c r="T7" s="1" t="n">
        <f aca="false">IF(T5&lt;=Inputs_Master!$C$10,1,0)</f>
        <v>1</v>
      </c>
      <c r="U7" s="1" t="n">
        <f aca="false">IF(U5&lt;=Inputs_Master!$C$10,1,0)</f>
        <v>1</v>
      </c>
      <c r="V7" s="1" t="n">
        <f aca="false">IF(V5&lt;=Inputs_Master!$C$10,1,0)</f>
        <v>1</v>
      </c>
      <c r="W7" s="1" t="n">
        <f aca="false">IF(W5&lt;=Inputs_Master!$C$10,1,0)</f>
        <v>1</v>
      </c>
      <c r="X7" s="1" t="n">
        <f aca="false">IF(X5&lt;=Inputs_Master!$C$10,1,0)</f>
        <v>1</v>
      </c>
      <c r="Y7" s="1" t="n">
        <f aca="false">IF(Y5&lt;=Inputs_Master!$C$10,1,0)</f>
        <v>1</v>
      </c>
      <c r="Z7" s="1" t="n">
        <f aca="false">IF(Z5&lt;=Inputs_Master!$C$10,1,0)</f>
        <v>1</v>
      </c>
      <c r="AA7" s="1" t="n">
        <f aca="false">IF(AA5&lt;=Inputs_Master!$C$10,1,0)</f>
        <v>1</v>
      </c>
      <c r="AB7" s="1" t="n">
        <f aca="false">IF(AB5&lt;=Inputs_Master!$C$10,1,0)</f>
        <v>1</v>
      </c>
      <c r="AC7" s="1" t="n">
        <f aca="false">IF(AC5&lt;=Inputs_Master!$C$10,1,0)</f>
        <v>1</v>
      </c>
      <c r="AD7" s="1" t="n">
        <f aca="false">IF(AD5&lt;=Inputs_Master!$C$10,1,0)</f>
        <v>1</v>
      </c>
      <c r="AE7" s="1" t="n">
        <f aca="false">IF(AE5&lt;=Inputs_Master!$C$10,1,0)</f>
        <v>1</v>
      </c>
      <c r="AF7" s="1" t="n">
        <f aca="false">IF(AF5&lt;=Inputs_Master!$C$10,1,0)</f>
        <v>1</v>
      </c>
      <c r="AG7" s="1" t="n">
        <f aca="false">IF(AG5&lt;=Inputs_Master!$C$10,1,0)</f>
        <v>1</v>
      </c>
      <c r="AH7" s="1" t="n">
        <f aca="false">IF(AH5&lt;=Inputs_Master!$C$10,1,0)</f>
        <v>1</v>
      </c>
      <c r="AI7" s="1" t="n">
        <f aca="false">IF(AI5&lt;=Inputs_Master!$C$10,1,0)</f>
        <v>1</v>
      </c>
      <c r="AJ7" s="1" t="n">
        <f aca="false">IF(AJ5&lt;=Inputs_Master!$C$10,1,0)</f>
        <v>1</v>
      </c>
    </row>
    <row r="9" customFormat="false" ht="15" hidden="false" customHeight="true" outlineLevel="0" collapsed="false">
      <c r="B9" s="16" t="s">
        <v>297</v>
      </c>
    </row>
    <row r="10" customFormat="false" ht="15" hidden="false" customHeight="true" outlineLevel="0" collapsed="false">
      <c r="B10" s="1" t="s">
        <v>298</v>
      </c>
      <c r="C10" s="1" t="n">
        <f aca="false">IF(C7=1,IF(C6="Construction",Inputs_Master!$C$36*Inputs_Master!$C$30,0),0)</f>
        <v>625.25</v>
      </c>
      <c r="D10" s="1" t="n">
        <f aca="false">IF(D7=1,IF(D6="Construction",Inputs_Master!$C$36*Inputs_Master!$C$31,0),0)</f>
        <v>0.2501</v>
      </c>
      <c r="E10" s="1" t="n">
        <f aca="false">IF(E7=1,IF(E6="Construction",Inputs_Master!$C$36*Inputs_Master!$C$32,0),0)</f>
        <v>0</v>
      </c>
      <c r="F10" s="1" t="s">
        <v>256</v>
      </c>
      <c r="G10" s="1" t="s">
        <v>256</v>
      </c>
      <c r="H10" s="1" t="s">
        <v>256</v>
      </c>
      <c r="I10" s="1" t="s">
        <v>256</v>
      </c>
      <c r="J10" s="1" t="s">
        <v>256</v>
      </c>
      <c r="K10" s="1" t="s">
        <v>256</v>
      </c>
      <c r="L10" s="1" t="s">
        <v>256</v>
      </c>
      <c r="M10" s="1" t="s">
        <v>256</v>
      </c>
      <c r="N10" s="1" t="s">
        <v>256</v>
      </c>
      <c r="O10" s="1" t="s">
        <v>256</v>
      </c>
      <c r="P10" s="1" t="s">
        <v>256</v>
      </c>
      <c r="Q10" s="1" t="s">
        <v>256</v>
      </c>
      <c r="R10" s="1" t="s">
        <v>256</v>
      </c>
      <c r="S10" s="1" t="s">
        <v>256</v>
      </c>
      <c r="T10" s="1" t="s">
        <v>256</v>
      </c>
      <c r="U10" s="1" t="s">
        <v>256</v>
      </c>
      <c r="V10" s="1" t="s">
        <v>256</v>
      </c>
      <c r="W10" s="1" t="s">
        <v>256</v>
      </c>
      <c r="X10" s="1" t="s">
        <v>256</v>
      </c>
      <c r="Y10" s="1" t="s">
        <v>256</v>
      </c>
      <c r="Z10" s="1" t="s">
        <v>256</v>
      </c>
      <c r="AA10" s="1" t="s">
        <v>256</v>
      </c>
      <c r="AB10" s="1" t="s">
        <v>256</v>
      </c>
      <c r="AC10" s="1" t="s">
        <v>256</v>
      </c>
      <c r="AD10" s="1" t="s">
        <v>256</v>
      </c>
      <c r="AE10" s="1" t="s">
        <v>256</v>
      </c>
      <c r="AF10" s="1" t="s">
        <v>256</v>
      </c>
      <c r="AG10" s="1" t="s">
        <v>256</v>
      </c>
      <c r="AH10" s="1" t="s">
        <v>256</v>
      </c>
      <c r="AI10" s="1" t="s">
        <v>256</v>
      </c>
      <c r="AJ10" s="1" t="s">
        <v>256</v>
      </c>
    </row>
    <row r="11" customFormat="false" ht="15" hidden="false" customHeight="true" outlineLevel="0" collapsed="false">
      <c r="B11" s="1" t="s">
        <v>299</v>
      </c>
      <c r="C11" s="1" t="n">
        <f aca="false">IF(C7=1,IF(C6="Construction",POWER(1+Inputs_Master!$C$18,C5),1),0)</f>
        <v>1</v>
      </c>
      <c r="D11" s="1" t="n">
        <f aca="false">IF(D7=1,IF(D6="Construction",POWER(1+Inputs_Master!$C$18,D5),1),0)</f>
        <v>1.06</v>
      </c>
      <c r="E11" s="1" t="n">
        <f aca="false">IF(E7=1,IF(E6="Construction",POWER(1+Inputs_Master!$C$18,E5),1),0)</f>
        <v>1.1236</v>
      </c>
      <c r="F11" s="1" t="n">
        <f aca="false">IF(F7=1,IF(F6="Construction",POWER(1+Inputs_Master!$C$18,F5),1),0)</f>
        <v>1</v>
      </c>
      <c r="G11" s="1" t="n">
        <f aca="false">IF(G7=1,IF(G6="Construction",POWER(1+Inputs_Master!$C$18,G5),1),0)</f>
        <v>1</v>
      </c>
      <c r="H11" s="1" t="n">
        <f aca="false">IF(H7=1,IF(H6="Construction",POWER(1+Inputs_Master!$C$18,H5),1),0)</f>
        <v>1</v>
      </c>
      <c r="I11" s="1" t="n">
        <f aca="false">IF(I7=1,IF(I6="Construction",POWER(1+Inputs_Master!$C$18,I5),1),0)</f>
        <v>1</v>
      </c>
      <c r="J11" s="1" t="n">
        <f aca="false">IF(J7=1,IF(J6="Construction",POWER(1+Inputs_Master!$C$18,J5),1),0)</f>
        <v>1</v>
      </c>
      <c r="K11" s="1" t="n">
        <f aca="false">IF(K7=1,IF(K6="Construction",POWER(1+Inputs_Master!$C$18,K5),1),0)</f>
        <v>1</v>
      </c>
      <c r="L11" s="1" t="n">
        <f aca="false">IF(L7=1,IF(L6="Construction",POWER(1+Inputs_Master!$C$18,L5),1),0)</f>
        <v>1</v>
      </c>
      <c r="M11" s="1" t="n">
        <f aca="false">IF(M7=1,IF(M6="Construction",POWER(1+Inputs_Master!$C$18,M5),1),0)</f>
        <v>1</v>
      </c>
      <c r="N11" s="1" t="n">
        <f aca="false">IF(N7=1,IF(N6="Construction",POWER(1+Inputs_Master!$C$18,N5),1),0)</f>
        <v>1</v>
      </c>
      <c r="O11" s="1" t="n">
        <f aca="false">IF(O7=1,IF(O6="Construction",POWER(1+Inputs_Master!$C$18,O5),1),0)</f>
        <v>1</v>
      </c>
      <c r="P11" s="1" t="n">
        <f aca="false">IF(P7=1,IF(P6="Construction",POWER(1+Inputs_Master!$C$18,P5),1),0)</f>
        <v>1</v>
      </c>
      <c r="Q11" s="1" t="n">
        <f aca="false">IF(Q7=1,IF(Q6="Construction",POWER(1+Inputs_Master!$C$18,Q5),1),0)</f>
        <v>1</v>
      </c>
      <c r="R11" s="1" t="n">
        <f aca="false">IF(R7=1,IF(R6="Construction",POWER(1+Inputs_Master!$C$18,R5),1),0)</f>
        <v>1</v>
      </c>
      <c r="S11" s="1" t="n">
        <f aca="false">IF(S7=1,IF(S6="Construction",POWER(1+Inputs_Master!$C$18,S5),1),0)</f>
        <v>1</v>
      </c>
      <c r="T11" s="1" t="n">
        <f aca="false">IF(T7=1,IF(T6="Construction",POWER(1+Inputs_Master!$C$18,T5),1),0)</f>
        <v>1</v>
      </c>
      <c r="U11" s="1" t="n">
        <f aca="false">IF(U7=1,IF(U6="Construction",POWER(1+Inputs_Master!$C$18,U5),1),0)</f>
        <v>1</v>
      </c>
      <c r="V11" s="1" t="n">
        <f aca="false">IF(V7=1,IF(V6="Construction",POWER(1+Inputs_Master!$C$18,V5),1),0)</f>
        <v>1</v>
      </c>
      <c r="W11" s="1" t="n">
        <f aca="false">IF(W7=1,IF(W6="Construction",POWER(1+Inputs_Master!$C$18,W5),1),0)</f>
        <v>1</v>
      </c>
      <c r="X11" s="1" t="n">
        <f aca="false">IF(X7=1,IF(X6="Construction",POWER(1+Inputs_Master!$C$18,X5),1),0)</f>
        <v>1</v>
      </c>
      <c r="Y11" s="1" t="n">
        <f aca="false">IF(Y7=1,IF(Y6="Construction",POWER(1+Inputs_Master!$C$18,Y5),1),0)</f>
        <v>1</v>
      </c>
      <c r="Z11" s="1" t="n">
        <f aca="false">IF(Z7=1,IF(Z6="Construction",POWER(1+Inputs_Master!$C$18,Z5),1),0)</f>
        <v>1</v>
      </c>
      <c r="AA11" s="1" t="n">
        <f aca="false">IF(AA7=1,IF(AA6="Construction",POWER(1+Inputs_Master!$C$18,AA5),1),0)</f>
        <v>1</v>
      </c>
      <c r="AB11" s="1" t="n">
        <f aca="false">IF(AB7=1,IF(AB6="Construction",POWER(1+Inputs_Master!$C$18,AB5),1),0)</f>
        <v>1</v>
      </c>
      <c r="AC11" s="1" t="n">
        <f aca="false">IF(AC7=1,IF(AC6="Construction",POWER(1+Inputs_Master!$C$18,AC5),1),0)</f>
        <v>1</v>
      </c>
      <c r="AD11" s="1" t="n">
        <f aca="false">IF(AD7=1,IF(AD6="Construction",POWER(1+Inputs_Master!$C$18,AD5),1),0)</f>
        <v>1</v>
      </c>
      <c r="AE11" s="1" t="n">
        <f aca="false">IF(AE7=1,IF(AE6="Construction",POWER(1+Inputs_Master!$C$18,AE5),1),0)</f>
        <v>1</v>
      </c>
      <c r="AF11" s="1" t="n">
        <f aca="false">IF(AF7=1,IF(AF6="Construction",POWER(1+Inputs_Master!$C$18,AF5),1),0)</f>
        <v>1</v>
      </c>
      <c r="AG11" s="1" t="n">
        <f aca="false">IF(AG7=1,IF(AG6="Construction",POWER(1+Inputs_Master!$C$18,AG5),1),0)</f>
        <v>1</v>
      </c>
      <c r="AH11" s="1" t="n">
        <f aca="false">IF(AH7=1,IF(AH6="Construction",POWER(1+Inputs_Master!$C$18,AH5),1),0)</f>
        <v>1</v>
      </c>
      <c r="AI11" s="1" t="n">
        <f aca="false">IF(AI7=1,IF(AI6="Construction",POWER(1+Inputs_Master!$C$18,AI5),1),0)</f>
        <v>1</v>
      </c>
      <c r="AJ11" s="1" t="n">
        <f aca="false">IF(AJ7=1,IF(AJ6="Construction",POWER(1+Inputs_Master!$C$18,AJ5),1),0)</f>
        <v>1</v>
      </c>
    </row>
    <row r="12" customFormat="false" ht="15" hidden="false" customHeight="true" outlineLevel="0" collapsed="false">
      <c r="B12" s="20" t="s">
        <v>300</v>
      </c>
      <c r="C12" s="21" t="n">
        <f aca="false">IF(C7=1,C10*C11,0)</f>
        <v>625.25</v>
      </c>
      <c r="D12" s="21" t="n">
        <f aca="false">IF(D7=1,D10*D11,0)</f>
        <v>0.265106</v>
      </c>
      <c r="E12" s="21" t="n">
        <f aca="false">IF(E7=1,E10*E11,0)</f>
        <v>0</v>
      </c>
      <c r="F12" s="21" t="n">
        <f aca="false">IF(F7=1,F10*F11,0)</f>
        <v>0</v>
      </c>
      <c r="G12" s="21" t="n">
        <f aca="false">IF(G7=1,G10*G11,0)</f>
        <v>0</v>
      </c>
      <c r="H12" s="21" t="n">
        <f aca="false">IF(H7=1,H10*H11,0)</f>
        <v>0</v>
      </c>
      <c r="I12" s="21" t="n">
        <f aca="false">IF(I7=1,I10*I11,0)</f>
        <v>0</v>
      </c>
      <c r="J12" s="21" t="n">
        <f aca="false">IF(J7=1,J10*J11,0)</f>
        <v>0</v>
      </c>
      <c r="K12" s="21" t="n">
        <f aca="false">IF(K7=1,K10*K11,0)</f>
        <v>0</v>
      </c>
      <c r="L12" s="21" t="n">
        <f aca="false">IF(L7=1,L10*L11,0)</f>
        <v>0</v>
      </c>
      <c r="M12" s="21" t="n">
        <f aca="false">IF(M7=1,M10*M11,0)</f>
        <v>0</v>
      </c>
      <c r="N12" s="21" t="n">
        <f aca="false">IF(N7=1,N10*N11,0)</f>
        <v>0</v>
      </c>
      <c r="O12" s="21" t="n">
        <f aca="false">IF(O7=1,O10*O11,0)</f>
        <v>0</v>
      </c>
      <c r="P12" s="21" t="n">
        <f aca="false">IF(P7=1,P10*P11,0)</f>
        <v>0</v>
      </c>
      <c r="Q12" s="21" t="n">
        <f aca="false">IF(Q7=1,Q10*Q11,0)</f>
        <v>0</v>
      </c>
      <c r="R12" s="21" t="n">
        <f aca="false">IF(R7=1,R10*R11,0)</f>
        <v>0</v>
      </c>
      <c r="S12" s="21" t="n">
        <f aca="false">IF(S7=1,S10*S11,0)</f>
        <v>0</v>
      </c>
      <c r="T12" s="21" t="n">
        <f aca="false">IF(T7=1,T10*T11,0)</f>
        <v>0</v>
      </c>
      <c r="U12" s="21" t="n">
        <f aca="false">IF(U7=1,U10*U11,0)</f>
        <v>0</v>
      </c>
      <c r="V12" s="21" t="n">
        <f aca="false">IF(V7=1,V10*V11,0)</f>
        <v>0</v>
      </c>
      <c r="W12" s="21" t="n">
        <f aca="false">IF(W7=1,W10*W11,0)</f>
        <v>0</v>
      </c>
      <c r="X12" s="21" t="n">
        <f aca="false">IF(X7=1,X10*X11,0)</f>
        <v>0</v>
      </c>
      <c r="Y12" s="21" t="n">
        <f aca="false">IF(Y7=1,Y10*Y11,0)</f>
        <v>0</v>
      </c>
      <c r="Z12" s="21" t="n">
        <f aca="false">IF(Z7=1,Z10*Z11,0)</f>
        <v>0</v>
      </c>
      <c r="AA12" s="21" t="n">
        <f aca="false">IF(AA7=1,AA10*AA11,0)</f>
        <v>0</v>
      </c>
      <c r="AB12" s="21" t="n">
        <f aca="false">IF(AB7=1,AB10*AB11,0)</f>
        <v>0</v>
      </c>
      <c r="AC12" s="21" t="n">
        <f aca="false">IF(AC7=1,AC10*AC11,0)</f>
        <v>0</v>
      </c>
      <c r="AD12" s="21" t="n">
        <f aca="false">IF(AD7=1,AD10*AD11,0)</f>
        <v>0</v>
      </c>
      <c r="AE12" s="21" t="n">
        <f aca="false">IF(AE7=1,AE10*AE11,0)</f>
        <v>0</v>
      </c>
      <c r="AF12" s="21" t="n">
        <f aca="false">IF(AF7=1,AF10*AF11,0)</f>
        <v>0</v>
      </c>
      <c r="AG12" s="21" t="n">
        <f aca="false">IF(AG7=1,AG10*AG11,0)</f>
        <v>0</v>
      </c>
      <c r="AH12" s="21" t="n">
        <f aca="false">IF(AH7=1,AH10*AH11,0)</f>
        <v>0</v>
      </c>
      <c r="AI12" s="21" t="n">
        <f aca="false">IF(AI7=1,AI10*AI11,0)</f>
        <v>0</v>
      </c>
      <c r="AJ12" s="21" t="n">
        <f aca="false">IF(AJ7=1,AJ10*AJ11,0)</f>
        <v>0</v>
      </c>
    </row>
    <row r="14" customFormat="false" ht="15" hidden="false" customHeight="true" outlineLevel="0" collapsed="false">
      <c r="B14" s="16" t="s">
        <v>301</v>
      </c>
    </row>
    <row r="15" customFormat="false" ht="15" hidden="false" customHeight="true" outlineLevel="0" collapsed="false">
      <c r="B15" s="1" t="s">
        <v>302</v>
      </c>
      <c r="C15" s="1" t="n">
        <f aca="false">IF(C7=1,IF(C6="Construction",C12*Inputs_Master!$C$38,0),0)</f>
        <v>0</v>
      </c>
      <c r="D15" s="1" t="n">
        <f aca="false">IF(D7=1,IF(D6="Construction",D12*Inputs_Master!$C$38,0),0)</f>
        <v>0</v>
      </c>
      <c r="E15" s="1" t="n">
        <f aca="false">IF(E7=1,IF(E6="Construction",E12*Inputs_Master!$C$38,0),0)</f>
        <v>0</v>
      </c>
      <c r="F15" s="1" t="n">
        <f aca="false">IF(F7=1,IF(F6="Construction",F12*Inputs_Master!$C$38,0),0)</f>
        <v>0</v>
      </c>
      <c r="G15" s="1" t="n">
        <f aca="false">IF(G7=1,IF(G6="Construction",G12*Inputs_Master!$C$38,0),0)</f>
        <v>0</v>
      </c>
      <c r="H15" s="1" t="n">
        <f aca="false">IF(H7=1,IF(H6="Construction",H12*Inputs_Master!$C$38,0),0)</f>
        <v>0</v>
      </c>
      <c r="I15" s="1" t="n">
        <f aca="false">IF(I7=1,IF(I6="Construction",I12*Inputs_Master!$C$38,0),0)</f>
        <v>0</v>
      </c>
      <c r="J15" s="1" t="n">
        <f aca="false">IF(J7=1,IF(J6="Construction",J12*Inputs_Master!$C$38,0),0)</f>
        <v>0</v>
      </c>
      <c r="K15" s="1" t="n">
        <f aca="false">IF(K7=1,IF(K6="Construction",K12*Inputs_Master!$C$38,0),0)</f>
        <v>0</v>
      </c>
      <c r="L15" s="1" t="n">
        <f aca="false">IF(L7=1,IF(L6="Construction",L12*Inputs_Master!$C$38,0),0)</f>
        <v>0</v>
      </c>
      <c r="M15" s="1" t="n">
        <f aca="false">IF(M7=1,IF(M6="Construction",M12*Inputs_Master!$C$38,0),0)</f>
        <v>0</v>
      </c>
      <c r="N15" s="1" t="n">
        <f aca="false">IF(N7=1,IF(N6="Construction",N12*Inputs_Master!$C$38,0),0)</f>
        <v>0</v>
      </c>
      <c r="O15" s="1" t="n">
        <f aca="false">IF(O7=1,IF(O6="Construction",O12*Inputs_Master!$C$38,0),0)</f>
        <v>0</v>
      </c>
      <c r="P15" s="1" t="n">
        <f aca="false">IF(P7=1,IF(P6="Construction",P12*Inputs_Master!$C$38,0),0)</f>
        <v>0</v>
      </c>
      <c r="Q15" s="1" t="n">
        <f aca="false">IF(Q7=1,IF(Q6="Construction",Q12*Inputs_Master!$C$38,0),0)</f>
        <v>0</v>
      </c>
      <c r="R15" s="1" t="n">
        <f aca="false">IF(R7=1,IF(R6="Construction",R12*Inputs_Master!$C$38,0),0)</f>
        <v>0</v>
      </c>
      <c r="S15" s="1" t="n">
        <f aca="false">IF(S7=1,IF(S6="Construction",S12*Inputs_Master!$C$38,0),0)</f>
        <v>0</v>
      </c>
      <c r="T15" s="1" t="n">
        <f aca="false">IF(T7=1,IF(T6="Construction",T12*Inputs_Master!$C$38,0),0)</f>
        <v>0</v>
      </c>
      <c r="U15" s="1" t="n">
        <f aca="false">IF(U7=1,IF(U6="Construction",U12*Inputs_Master!$C$38,0),0)</f>
        <v>0</v>
      </c>
      <c r="V15" s="1" t="n">
        <f aca="false">IF(V7=1,IF(V6="Construction",V12*Inputs_Master!$C$38,0),0)</f>
        <v>0</v>
      </c>
      <c r="W15" s="1" t="n">
        <f aca="false">IF(W7=1,IF(W6="Construction",W12*Inputs_Master!$C$38,0),0)</f>
        <v>0</v>
      </c>
      <c r="X15" s="1" t="n">
        <f aca="false">IF(X7=1,IF(X6="Construction",X12*Inputs_Master!$C$38,0),0)</f>
        <v>0</v>
      </c>
      <c r="Y15" s="1" t="n">
        <f aca="false">IF(Y7=1,IF(Y6="Construction",Y12*Inputs_Master!$C$38,0),0)</f>
        <v>0</v>
      </c>
      <c r="Z15" s="1" t="n">
        <f aca="false">IF(Z7=1,IF(Z6="Construction",Z12*Inputs_Master!$C$38,0),0)</f>
        <v>0</v>
      </c>
      <c r="AA15" s="1" t="n">
        <f aca="false">IF(AA7=1,IF(AA6="Construction",AA12*Inputs_Master!$C$38,0),0)</f>
        <v>0</v>
      </c>
      <c r="AB15" s="1" t="n">
        <f aca="false">IF(AB7=1,IF(AB6="Construction",AB12*Inputs_Master!$C$38,0),0)</f>
        <v>0</v>
      </c>
      <c r="AC15" s="1" t="n">
        <f aca="false">IF(AC7=1,IF(AC6="Construction",AC12*Inputs_Master!$C$38,0),0)</f>
        <v>0</v>
      </c>
      <c r="AD15" s="1" t="n">
        <f aca="false">IF(AD7=1,IF(AD6="Construction",AD12*Inputs_Master!$C$38,0),0)</f>
        <v>0</v>
      </c>
      <c r="AE15" s="1" t="n">
        <f aca="false">IF(AE7=1,IF(AE6="Construction",AE12*Inputs_Master!$C$38,0),0)</f>
        <v>0</v>
      </c>
      <c r="AF15" s="1" t="n">
        <f aca="false">IF(AF7=1,IF(AF6="Construction",AF12*Inputs_Master!$C$38,0),0)</f>
        <v>0</v>
      </c>
      <c r="AG15" s="1" t="n">
        <f aca="false">IF(AG7=1,IF(AG6="Construction",AG12*Inputs_Master!$C$38,0),0)</f>
        <v>0</v>
      </c>
      <c r="AH15" s="1" t="n">
        <f aca="false">IF(AH7=1,IF(AH6="Construction",AH12*Inputs_Master!$C$38,0),0)</f>
        <v>0</v>
      </c>
      <c r="AI15" s="1" t="n">
        <f aca="false">IF(AI7=1,IF(AI6="Construction",AI12*Inputs_Master!$C$38,0),0)</f>
        <v>0</v>
      </c>
      <c r="AJ15" s="1" t="n">
        <f aca="false">IF(AJ7=1,IF(AJ6="Construction",AJ12*Inputs_Master!$C$38,0),0)</f>
        <v>0</v>
      </c>
    </row>
    <row r="16" customFormat="false" ht="15" hidden="false" customHeight="true" outlineLevel="0" collapsed="false">
      <c r="B16" s="1" t="s">
        <v>303</v>
      </c>
      <c r="C16" s="1" t="s">
        <v>256</v>
      </c>
      <c r="D16" s="1" t="n">
        <f aca="false">C20</f>
        <v>0</v>
      </c>
      <c r="E16" s="1" t="n">
        <f aca="false">D20</f>
        <v>0</v>
      </c>
      <c r="F16" s="1" t="n">
        <f aca="false">E20</f>
        <v>0</v>
      </c>
      <c r="G16" s="1" t="e">
        <f aca="false">F20</f>
        <v>#NUM!</v>
      </c>
      <c r="H16" s="1" t="e">
        <f aca="false">G20</f>
        <v>#NUM!</v>
      </c>
      <c r="I16" s="1" t="e">
        <f aca="false">H20</f>
        <v>#NUM!</v>
      </c>
      <c r="J16" s="1" t="e">
        <f aca="false">I20</f>
        <v>#NUM!</v>
      </c>
      <c r="K16" s="1" t="e">
        <f aca="false">J20</f>
        <v>#NUM!</v>
      </c>
      <c r="L16" s="1" t="e">
        <f aca="false">K20</f>
        <v>#NUM!</v>
      </c>
      <c r="M16" s="1" t="e">
        <f aca="false">L20</f>
        <v>#NUM!</v>
      </c>
      <c r="N16" s="1" t="e">
        <f aca="false">M20</f>
        <v>#NUM!</v>
      </c>
      <c r="O16" s="1" t="e">
        <f aca="false">N20</f>
        <v>#NUM!</v>
      </c>
      <c r="P16" s="1" t="e">
        <f aca="false">O20</f>
        <v>#NUM!</v>
      </c>
      <c r="Q16" s="1" t="e">
        <f aca="false">P20</f>
        <v>#NUM!</v>
      </c>
      <c r="R16" s="1" t="e">
        <f aca="false">Q20</f>
        <v>#NUM!</v>
      </c>
      <c r="S16" s="1" t="e">
        <f aca="false">R20</f>
        <v>#NUM!</v>
      </c>
      <c r="T16" s="1" t="e">
        <f aca="false">S20</f>
        <v>#NUM!</v>
      </c>
      <c r="U16" s="1" t="e">
        <f aca="false">T20</f>
        <v>#NUM!</v>
      </c>
      <c r="V16" s="1" t="e">
        <f aca="false">U20</f>
        <v>#NUM!</v>
      </c>
      <c r="W16" s="1" t="e">
        <f aca="false">V20</f>
        <v>#NUM!</v>
      </c>
      <c r="X16" s="1" t="e">
        <f aca="false">W20</f>
        <v>#NUM!</v>
      </c>
      <c r="Y16" s="1" t="e">
        <f aca="false">X20</f>
        <v>#NUM!</v>
      </c>
      <c r="Z16" s="1" t="e">
        <f aca="false">Y20</f>
        <v>#NUM!</v>
      </c>
      <c r="AA16" s="1" t="e">
        <f aca="false">Z20</f>
        <v>#NUM!</v>
      </c>
      <c r="AB16" s="1" t="e">
        <f aca="false">AA20</f>
        <v>#NUM!</v>
      </c>
      <c r="AC16" s="1" t="e">
        <f aca="false">AB20</f>
        <v>#NUM!</v>
      </c>
      <c r="AD16" s="1" t="e">
        <f aca="false">AC20</f>
        <v>#NUM!</v>
      </c>
      <c r="AE16" s="1" t="e">
        <f aca="false">AD20</f>
        <v>#NUM!</v>
      </c>
      <c r="AF16" s="1" t="e">
        <f aca="false">AE20</f>
        <v>#NUM!</v>
      </c>
      <c r="AG16" s="1" t="e">
        <f aca="false">AF20</f>
        <v>#NUM!</v>
      </c>
      <c r="AH16" s="1" t="e">
        <f aca="false">AG20</f>
        <v>#NUM!</v>
      </c>
      <c r="AI16" s="1" t="e">
        <f aca="false">AH20</f>
        <v>#NUM!</v>
      </c>
      <c r="AJ16" s="1" t="e">
        <f aca="false">AI20</f>
        <v>#NUM!</v>
      </c>
    </row>
    <row r="17" customFormat="false" ht="15" hidden="false" customHeight="true" outlineLevel="0" collapsed="false">
      <c r="B17" s="1" t="s">
        <v>304</v>
      </c>
      <c r="C17" s="1" t="n">
        <f aca="false">IF(C7=1,C16*Inputs_Master!$C$44,0)</f>
        <v>0</v>
      </c>
      <c r="D17" s="1" t="n">
        <f aca="false">IF(D7=1,D16*Inputs_Master!$C$44,0)</f>
        <v>0</v>
      </c>
      <c r="E17" s="1" t="n">
        <f aca="false">IF(E7=1,E16*Inputs_Master!$C$44,0)</f>
        <v>0</v>
      </c>
      <c r="F17" s="1" t="n">
        <f aca="false">IF(F7=1,F16*Inputs_Master!$C$44,0)</f>
        <v>0</v>
      </c>
      <c r="G17" s="1" t="e">
        <f aca="false">IF(G7=1,G16*Inputs_Master!$C$44,0)</f>
        <v>#NUM!</v>
      </c>
      <c r="H17" s="1" t="e">
        <f aca="false">IF(H7=1,H16*Inputs_Master!$C$44,0)</f>
        <v>#NUM!</v>
      </c>
      <c r="I17" s="1" t="e">
        <f aca="false">IF(I7=1,I16*Inputs_Master!$C$44,0)</f>
        <v>#NUM!</v>
      </c>
      <c r="J17" s="1" t="e">
        <f aca="false">IF(J7=1,J16*Inputs_Master!$C$44,0)</f>
        <v>#NUM!</v>
      </c>
      <c r="K17" s="1" t="e">
        <f aca="false">IF(K7=1,K16*Inputs_Master!$C$44,0)</f>
        <v>#NUM!</v>
      </c>
      <c r="L17" s="1" t="e">
        <f aca="false">IF(L7=1,L16*Inputs_Master!$C$44,0)</f>
        <v>#NUM!</v>
      </c>
      <c r="M17" s="1" t="e">
        <f aca="false">IF(M7=1,M16*Inputs_Master!$C$44,0)</f>
        <v>#NUM!</v>
      </c>
      <c r="N17" s="1" t="e">
        <f aca="false">IF(N7=1,N16*Inputs_Master!$C$44,0)</f>
        <v>#NUM!</v>
      </c>
      <c r="O17" s="1" t="e">
        <f aca="false">IF(O7=1,O16*Inputs_Master!$C$44,0)</f>
        <v>#NUM!</v>
      </c>
      <c r="P17" s="1" t="e">
        <f aca="false">IF(P7=1,P16*Inputs_Master!$C$44,0)</f>
        <v>#NUM!</v>
      </c>
      <c r="Q17" s="1" t="e">
        <f aca="false">IF(Q7=1,Q16*Inputs_Master!$C$44,0)</f>
        <v>#NUM!</v>
      </c>
      <c r="R17" s="1" t="e">
        <f aca="false">IF(R7=1,R16*Inputs_Master!$C$44,0)</f>
        <v>#NUM!</v>
      </c>
      <c r="S17" s="1" t="e">
        <f aca="false">IF(S7=1,S16*Inputs_Master!$C$44,0)</f>
        <v>#NUM!</v>
      </c>
      <c r="T17" s="1" t="e">
        <f aca="false">IF(T7=1,T16*Inputs_Master!$C$44,0)</f>
        <v>#NUM!</v>
      </c>
      <c r="U17" s="1" t="e">
        <f aca="false">IF(U7=1,U16*Inputs_Master!$C$44,0)</f>
        <v>#NUM!</v>
      </c>
      <c r="V17" s="1" t="e">
        <f aca="false">IF(V7=1,V16*Inputs_Master!$C$44,0)</f>
        <v>#NUM!</v>
      </c>
      <c r="W17" s="1" t="e">
        <f aca="false">IF(W7=1,W16*Inputs_Master!$C$44,0)</f>
        <v>#NUM!</v>
      </c>
      <c r="X17" s="1" t="e">
        <f aca="false">IF(X7=1,X16*Inputs_Master!$C$44,0)</f>
        <v>#NUM!</v>
      </c>
      <c r="Y17" s="1" t="e">
        <f aca="false">IF(Y7=1,Y16*Inputs_Master!$C$44,0)</f>
        <v>#NUM!</v>
      </c>
      <c r="Z17" s="1" t="e">
        <f aca="false">IF(Z7=1,Z16*Inputs_Master!$C$44,0)</f>
        <v>#NUM!</v>
      </c>
      <c r="AA17" s="1" t="e">
        <f aca="false">IF(AA7=1,AA16*Inputs_Master!$C$44,0)</f>
        <v>#NUM!</v>
      </c>
      <c r="AB17" s="1" t="e">
        <f aca="false">IF(AB7=1,AB16*Inputs_Master!$C$44,0)</f>
        <v>#NUM!</v>
      </c>
      <c r="AC17" s="1" t="e">
        <f aca="false">IF(AC7=1,AC16*Inputs_Master!$C$44,0)</f>
        <v>#NUM!</v>
      </c>
      <c r="AD17" s="1" t="e">
        <f aca="false">IF(AD7=1,AD16*Inputs_Master!$C$44,0)</f>
        <v>#NUM!</v>
      </c>
      <c r="AE17" s="1" t="e">
        <f aca="false">IF(AE7=1,AE16*Inputs_Master!$C$44,0)</f>
        <v>#NUM!</v>
      </c>
      <c r="AF17" s="1" t="e">
        <f aca="false">IF(AF7=1,AF16*Inputs_Master!$C$44,0)</f>
        <v>#NUM!</v>
      </c>
      <c r="AG17" s="1" t="e">
        <f aca="false">IF(AG7=1,AG16*Inputs_Master!$C$44,0)</f>
        <v>#NUM!</v>
      </c>
      <c r="AH17" s="1" t="e">
        <f aca="false">IF(AH7=1,AH16*Inputs_Master!$C$44,0)</f>
        <v>#NUM!</v>
      </c>
      <c r="AI17" s="1" t="e">
        <f aca="false">IF(AI7=1,AI16*Inputs_Master!$C$44,0)</f>
        <v>#NUM!</v>
      </c>
      <c r="AJ17" s="1" t="e">
        <f aca="false">IF(AJ7=1,AJ16*Inputs_Master!$C$44,0)</f>
        <v>#NUM!</v>
      </c>
    </row>
    <row r="18" customFormat="false" ht="15" hidden="false" customHeight="true" outlineLevel="0" collapsed="false">
      <c r="B18" s="1" t="s">
        <v>305</v>
      </c>
      <c r="C18" s="1" t="n">
        <f aca="false">IF(C7=1,IF(C6="Operating",C19-C17,0),0)</f>
        <v>0</v>
      </c>
      <c r="D18" s="1" t="n">
        <f aca="false">IF(D7=1,IF(D6="Operating",D19-D17,0),0)</f>
        <v>0</v>
      </c>
      <c r="E18" s="1" t="n">
        <f aca="false">IF(E7=1,IF(E6="Operating",E19-E17,0),0)</f>
        <v>0</v>
      </c>
      <c r="F18" s="1" t="e">
        <f aca="false">IF(F7=1,IF(F6="Operating",F19-F17,0),0)</f>
        <v>#NUM!</v>
      </c>
      <c r="G18" s="1" t="e">
        <f aca="false">IF(G7=1,IF(G6="Operating",G19-G17,0),0)</f>
        <v>#NUM!</v>
      </c>
      <c r="H18" s="1" t="e">
        <f aca="false">IF(H7=1,IF(H6="Operating",H19-H17,0),0)</f>
        <v>#NUM!</v>
      </c>
      <c r="I18" s="1" t="e">
        <f aca="false">IF(I7=1,IF(I6="Operating",I19-I17,0),0)</f>
        <v>#NUM!</v>
      </c>
      <c r="J18" s="1" t="e">
        <f aca="false">IF(J7=1,IF(J6="Operating",J19-J17,0),0)</f>
        <v>#NUM!</v>
      </c>
      <c r="K18" s="1" t="e">
        <f aca="false">IF(K7=1,IF(K6="Operating",K19-K17,0),0)</f>
        <v>#NUM!</v>
      </c>
      <c r="L18" s="1" t="e">
        <f aca="false">IF(L7=1,IF(L6="Operating",L19-L17,0),0)</f>
        <v>#NUM!</v>
      </c>
      <c r="M18" s="1" t="e">
        <f aca="false">IF(M7=1,IF(M6="Operating",M19-M17,0),0)</f>
        <v>#NUM!</v>
      </c>
      <c r="N18" s="1" t="e">
        <f aca="false">IF(N7=1,IF(N6="Operating",N19-N17,0),0)</f>
        <v>#NUM!</v>
      </c>
      <c r="O18" s="1" t="e">
        <f aca="false">IF(O7=1,IF(O6="Operating",O19-O17,0),0)</f>
        <v>#NUM!</v>
      </c>
      <c r="P18" s="1" t="e">
        <f aca="false">IF(P7=1,IF(P6="Operating",P19-P17,0),0)</f>
        <v>#NUM!</v>
      </c>
      <c r="Q18" s="1" t="e">
        <f aca="false">IF(Q7=1,IF(Q6="Operating",Q19-Q17,0),0)</f>
        <v>#NUM!</v>
      </c>
      <c r="R18" s="1" t="e">
        <f aca="false">IF(R7=1,IF(R6="Operating",R19-R17,0),0)</f>
        <v>#NUM!</v>
      </c>
      <c r="S18" s="1" t="e">
        <f aca="false">IF(S7=1,IF(S6="Operating",S19-S17,0),0)</f>
        <v>#NUM!</v>
      </c>
      <c r="T18" s="1" t="e">
        <f aca="false">IF(T7=1,IF(T6="Operating",T19-T17,0),0)</f>
        <v>#NUM!</v>
      </c>
      <c r="U18" s="1" t="e">
        <f aca="false">IF(U7=1,IF(U6="Operating",U19-U17,0),0)</f>
        <v>#NUM!</v>
      </c>
      <c r="V18" s="1" t="e">
        <f aca="false">IF(V7=1,IF(V6="Operating",V19-V17,0),0)</f>
        <v>#NUM!</v>
      </c>
      <c r="W18" s="1" t="e">
        <f aca="false">IF(W7=1,IF(W6="Operating",W19-W17,0),0)</f>
        <v>#NUM!</v>
      </c>
      <c r="X18" s="1" t="e">
        <f aca="false">IF(X7=1,IF(X6="Operating",X19-X17,0),0)</f>
        <v>#NUM!</v>
      </c>
      <c r="Y18" s="1" t="e">
        <f aca="false">IF(Y7=1,IF(Y6="Operating",Y19-Y17,0),0)</f>
        <v>#NUM!</v>
      </c>
      <c r="Z18" s="1" t="e">
        <f aca="false">IF(Z7=1,IF(Z6="Operating",Z19-Z17,0),0)</f>
        <v>#NUM!</v>
      </c>
      <c r="AA18" s="1" t="e">
        <f aca="false">IF(AA7=1,IF(AA6="Operating",AA19-AA17,0),0)</f>
        <v>#NUM!</v>
      </c>
      <c r="AB18" s="1" t="e">
        <f aca="false">IF(AB7=1,IF(AB6="Operating",AB19-AB17,0),0)</f>
        <v>#NUM!</v>
      </c>
      <c r="AC18" s="1" t="e">
        <f aca="false">IF(AC7=1,IF(AC6="Operating",AC19-AC17,0),0)</f>
        <v>#NUM!</v>
      </c>
      <c r="AD18" s="1" t="e">
        <f aca="false">IF(AD7=1,IF(AD6="Operating",AD19-AD17,0),0)</f>
        <v>#NUM!</v>
      </c>
      <c r="AE18" s="1" t="e">
        <f aca="false">IF(AE7=1,IF(AE6="Operating",AE19-AE17,0),0)</f>
        <v>#NUM!</v>
      </c>
      <c r="AF18" s="1" t="e">
        <f aca="false">IF(AF7=1,IF(AF6="Operating",AF19-AF17,0),0)</f>
        <v>#NUM!</v>
      </c>
      <c r="AG18" s="1" t="e">
        <f aca="false">IF(AG7=1,IF(AG6="Operating",AG19-AG17,0),0)</f>
        <v>#NUM!</v>
      </c>
      <c r="AH18" s="1" t="e">
        <f aca="false">IF(AH7=1,IF(AH6="Operating",AH19-AH17,0),0)</f>
        <v>#NUM!</v>
      </c>
      <c r="AI18" s="1" t="e">
        <f aca="false">IF(AI7=1,IF(AI6="Operating",AI19-AI17,0),0)</f>
        <v>#NUM!</v>
      </c>
      <c r="AJ18" s="1" t="e">
        <f aca="false">IF(AJ7=1,IF(AJ6="Operating",AJ19-AJ17,0),0)</f>
        <v>#NUM!</v>
      </c>
    </row>
    <row r="19" customFormat="false" ht="15" hidden="false" customHeight="true" outlineLevel="0" collapsed="false">
      <c r="B19" s="1" t="s">
        <v>306</v>
      </c>
      <c r="C19" s="1" t="n">
        <f aca="false">IF(C7=1,IF(C6="Operating",Inputs_Master!$C$48,0),0)</f>
        <v>0</v>
      </c>
      <c r="D19" s="1" t="n">
        <f aca="false">IF(D7=1,IF(D6="Operating",Inputs_Master!$C$48,0),0)</f>
        <v>0</v>
      </c>
      <c r="E19" s="1" t="n">
        <f aca="false">IF(E7=1,IF(E6="Operating",Inputs_Master!$C$48,0),0)</f>
        <v>0</v>
      </c>
      <c r="F19" s="1" t="e">
        <f aca="false">IF(F7=1,IF(F6="Operating",Inputs_Master!$C$48,0),0)</f>
        <v>#NUM!</v>
      </c>
      <c r="G19" s="1" t="e">
        <f aca="false">IF(G7=1,IF(G6="Operating",Inputs_Master!$C$48,0),0)</f>
        <v>#NUM!</v>
      </c>
      <c r="H19" s="1" t="e">
        <f aca="false">IF(H7=1,IF(H6="Operating",Inputs_Master!$C$48,0),0)</f>
        <v>#NUM!</v>
      </c>
      <c r="I19" s="1" t="e">
        <f aca="false">IF(I7=1,IF(I6="Operating",Inputs_Master!$C$48,0),0)</f>
        <v>#NUM!</v>
      </c>
      <c r="J19" s="1" t="e">
        <f aca="false">IF(J7=1,IF(J6="Operating",Inputs_Master!$C$48,0),0)</f>
        <v>#NUM!</v>
      </c>
      <c r="K19" s="1" t="e">
        <f aca="false">IF(K7=1,IF(K6="Operating",Inputs_Master!$C$48,0),0)</f>
        <v>#NUM!</v>
      </c>
      <c r="L19" s="1" t="e">
        <f aca="false">IF(L7=1,IF(L6="Operating",Inputs_Master!$C$48,0),0)</f>
        <v>#NUM!</v>
      </c>
      <c r="M19" s="1" t="e">
        <f aca="false">IF(M7=1,IF(M6="Operating",Inputs_Master!$C$48,0),0)</f>
        <v>#NUM!</v>
      </c>
      <c r="N19" s="1" t="e">
        <f aca="false">IF(N7=1,IF(N6="Operating",Inputs_Master!$C$48,0),0)</f>
        <v>#NUM!</v>
      </c>
      <c r="O19" s="1" t="e">
        <f aca="false">IF(O7=1,IF(O6="Operating",Inputs_Master!$C$48,0),0)</f>
        <v>#NUM!</v>
      </c>
      <c r="P19" s="1" t="e">
        <f aca="false">IF(P7=1,IF(P6="Operating",Inputs_Master!$C$48,0),0)</f>
        <v>#NUM!</v>
      </c>
      <c r="Q19" s="1" t="e">
        <f aca="false">IF(Q7=1,IF(Q6="Operating",Inputs_Master!$C$48,0),0)</f>
        <v>#NUM!</v>
      </c>
      <c r="R19" s="1" t="e">
        <f aca="false">IF(R7=1,IF(R6="Operating",Inputs_Master!$C$48,0),0)</f>
        <v>#NUM!</v>
      </c>
      <c r="S19" s="1" t="e">
        <f aca="false">IF(S7=1,IF(S6="Operating",Inputs_Master!$C$48,0),0)</f>
        <v>#NUM!</v>
      </c>
      <c r="T19" s="1" t="e">
        <f aca="false">IF(T7=1,IF(T6="Operating",Inputs_Master!$C$48,0),0)</f>
        <v>#NUM!</v>
      </c>
      <c r="U19" s="1" t="e">
        <f aca="false">IF(U7=1,IF(U6="Operating",Inputs_Master!$C$48,0),0)</f>
        <v>#NUM!</v>
      </c>
      <c r="V19" s="1" t="e">
        <f aca="false">IF(V7=1,IF(V6="Operating",Inputs_Master!$C$48,0),0)</f>
        <v>#NUM!</v>
      </c>
      <c r="W19" s="1" t="e">
        <f aca="false">IF(W7=1,IF(W6="Operating",Inputs_Master!$C$48,0),0)</f>
        <v>#NUM!</v>
      </c>
      <c r="X19" s="1" t="e">
        <f aca="false">IF(X7=1,IF(X6="Operating",Inputs_Master!$C$48,0),0)</f>
        <v>#NUM!</v>
      </c>
      <c r="Y19" s="1" t="e">
        <f aca="false">IF(Y7=1,IF(Y6="Operating",Inputs_Master!$C$48,0),0)</f>
        <v>#NUM!</v>
      </c>
      <c r="Z19" s="1" t="e">
        <f aca="false">IF(Z7=1,IF(Z6="Operating",Inputs_Master!$C$48,0),0)</f>
        <v>#NUM!</v>
      </c>
      <c r="AA19" s="1" t="e">
        <f aca="false">IF(AA7=1,IF(AA6="Operating",Inputs_Master!$C$48,0),0)</f>
        <v>#NUM!</v>
      </c>
      <c r="AB19" s="1" t="e">
        <f aca="false">IF(AB7=1,IF(AB6="Operating",Inputs_Master!$C$48,0),0)</f>
        <v>#NUM!</v>
      </c>
      <c r="AC19" s="1" t="e">
        <f aca="false">IF(AC7=1,IF(AC6="Operating",Inputs_Master!$C$48,0),0)</f>
        <v>#NUM!</v>
      </c>
      <c r="AD19" s="1" t="e">
        <f aca="false">IF(AD7=1,IF(AD6="Operating",Inputs_Master!$C$48,0),0)</f>
        <v>#NUM!</v>
      </c>
      <c r="AE19" s="1" t="e">
        <f aca="false">IF(AE7=1,IF(AE6="Operating",Inputs_Master!$C$48,0),0)</f>
        <v>#NUM!</v>
      </c>
      <c r="AF19" s="1" t="e">
        <f aca="false">IF(AF7=1,IF(AF6="Operating",Inputs_Master!$C$48,0),0)</f>
        <v>#NUM!</v>
      </c>
      <c r="AG19" s="1" t="e">
        <f aca="false">IF(AG7=1,IF(AG6="Operating",Inputs_Master!$C$48,0),0)</f>
        <v>#NUM!</v>
      </c>
      <c r="AH19" s="1" t="e">
        <f aca="false">IF(AH7=1,IF(AH6="Operating",Inputs_Master!$C$48,0),0)</f>
        <v>#NUM!</v>
      </c>
      <c r="AI19" s="1" t="e">
        <f aca="false">IF(AI7=1,IF(AI6="Operating",Inputs_Master!$C$48,0),0)</f>
        <v>#NUM!</v>
      </c>
      <c r="AJ19" s="1" t="e">
        <f aca="false">IF(AJ7=1,IF(AJ6="Operating",Inputs_Master!$C$48,0),0)</f>
        <v>#NUM!</v>
      </c>
    </row>
    <row r="20" customFormat="false" ht="15" hidden="false" customHeight="true" outlineLevel="0" collapsed="false">
      <c r="B20" s="1" t="s">
        <v>307</v>
      </c>
      <c r="C20" s="1" t="n">
        <f aca="false">IF(C7=1,C16+C15-C18,0)</f>
        <v>0</v>
      </c>
      <c r="D20" s="1" t="n">
        <f aca="false">IF(D7=1,D16+D15-D18,0)</f>
        <v>0</v>
      </c>
      <c r="E20" s="1" t="n">
        <f aca="false">IF(E7=1,E16+E15-E18,0)</f>
        <v>0</v>
      </c>
      <c r="F20" s="1" t="e">
        <f aca="false">IF(F7=1,F16+F15-F18,0)</f>
        <v>#NUM!</v>
      </c>
      <c r="G20" s="1" t="e">
        <f aca="false">IF(G7=1,G16+G15-G18,0)</f>
        <v>#NUM!</v>
      </c>
      <c r="H20" s="1" t="e">
        <f aca="false">IF(H7=1,H16+H15-H18,0)</f>
        <v>#NUM!</v>
      </c>
      <c r="I20" s="1" t="e">
        <f aca="false">IF(I7=1,I16+I15-I18,0)</f>
        <v>#NUM!</v>
      </c>
      <c r="J20" s="1" t="e">
        <f aca="false">IF(J7=1,J16+J15-J18,0)</f>
        <v>#NUM!</v>
      </c>
      <c r="K20" s="1" t="e">
        <f aca="false">IF(K7=1,K16+K15-K18,0)</f>
        <v>#NUM!</v>
      </c>
      <c r="L20" s="1" t="e">
        <f aca="false">IF(L7=1,L16+L15-L18,0)</f>
        <v>#NUM!</v>
      </c>
      <c r="M20" s="1" t="e">
        <f aca="false">IF(M7=1,M16+M15-M18,0)</f>
        <v>#NUM!</v>
      </c>
      <c r="N20" s="1" t="e">
        <f aca="false">IF(N7=1,N16+N15-N18,0)</f>
        <v>#NUM!</v>
      </c>
      <c r="O20" s="1" t="e">
        <f aca="false">IF(O7=1,O16+O15-O18,0)</f>
        <v>#NUM!</v>
      </c>
      <c r="P20" s="1" t="e">
        <f aca="false">IF(P7=1,P16+P15-P18,0)</f>
        <v>#NUM!</v>
      </c>
      <c r="Q20" s="1" t="e">
        <f aca="false">IF(Q7=1,Q16+Q15-Q18,0)</f>
        <v>#NUM!</v>
      </c>
      <c r="R20" s="1" t="e">
        <f aca="false">IF(R7=1,R16+R15-R18,0)</f>
        <v>#NUM!</v>
      </c>
      <c r="S20" s="1" t="e">
        <f aca="false">IF(S7=1,S16+S15-S18,0)</f>
        <v>#NUM!</v>
      </c>
      <c r="T20" s="1" t="e">
        <f aca="false">IF(T7=1,T16+T15-T18,0)</f>
        <v>#NUM!</v>
      </c>
      <c r="U20" s="1" t="e">
        <f aca="false">IF(U7=1,U16+U15-U18,0)</f>
        <v>#NUM!</v>
      </c>
      <c r="V20" s="1" t="e">
        <f aca="false">IF(V7=1,V16+V15-V18,0)</f>
        <v>#NUM!</v>
      </c>
      <c r="W20" s="1" t="e">
        <f aca="false">IF(W7=1,W16+W15-W18,0)</f>
        <v>#NUM!</v>
      </c>
      <c r="X20" s="1" t="e">
        <f aca="false">IF(X7=1,X16+X15-X18,0)</f>
        <v>#NUM!</v>
      </c>
      <c r="Y20" s="1" t="e">
        <f aca="false">IF(Y7=1,Y16+Y15-Y18,0)</f>
        <v>#NUM!</v>
      </c>
      <c r="Z20" s="1" t="e">
        <f aca="false">IF(Z7=1,Z16+Z15-Z18,0)</f>
        <v>#NUM!</v>
      </c>
      <c r="AA20" s="1" t="e">
        <f aca="false">IF(AA7=1,AA16+AA15-AA18,0)</f>
        <v>#NUM!</v>
      </c>
      <c r="AB20" s="1" t="e">
        <f aca="false">IF(AB7=1,AB16+AB15-AB18,0)</f>
        <v>#NUM!</v>
      </c>
      <c r="AC20" s="1" t="e">
        <f aca="false">IF(AC7=1,AC16+AC15-AC18,0)</f>
        <v>#NUM!</v>
      </c>
      <c r="AD20" s="1" t="e">
        <f aca="false">IF(AD7=1,AD16+AD15-AD18,0)</f>
        <v>#NUM!</v>
      </c>
      <c r="AE20" s="1" t="e">
        <f aca="false">IF(AE7=1,AE16+AE15-AE18,0)</f>
        <v>#NUM!</v>
      </c>
      <c r="AF20" s="1" t="e">
        <f aca="false">IF(AF7=1,AF16+AF15-AF18,0)</f>
        <v>#NUM!</v>
      </c>
      <c r="AG20" s="1" t="e">
        <f aca="false">IF(AG7=1,AG16+AG15-AG18,0)</f>
        <v>#NUM!</v>
      </c>
      <c r="AH20" s="1" t="e">
        <f aca="false">IF(AH7=1,AH16+AH15-AH18,0)</f>
        <v>#NUM!</v>
      </c>
      <c r="AI20" s="1" t="e">
        <f aca="false">IF(AI7=1,AI16+AI15-AI18,0)</f>
        <v>#NUM!</v>
      </c>
      <c r="AJ20" s="1" t="e">
        <f aca="false">IF(AJ7=1,AJ16+AJ15-AJ18,0)</f>
        <v>#NUM!</v>
      </c>
    </row>
    <row r="22" customFormat="false" ht="15" hidden="false" customHeight="true" outlineLevel="0" collapsed="false">
      <c r="B22" s="16" t="s">
        <v>308</v>
      </c>
    </row>
    <row r="23" customFormat="false" ht="15" hidden="false" customHeight="true" outlineLevel="0" collapsed="false">
      <c r="B23" s="1" t="s">
        <v>309</v>
      </c>
      <c r="C23" s="1" t="n">
        <f aca="false">IF(C7=1,IF(C6="Construction",C12*(1-Inputs_Master!$C$38),0),0)</f>
        <v>625.25</v>
      </c>
      <c r="D23" s="1" t="n">
        <f aca="false">IF(D7=1,IF(D6="Construction",D12*(1-Inputs_Master!$C$38),0),0)</f>
        <v>0.265106</v>
      </c>
      <c r="E23" s="1" t="n">
        <f aca="false">IF(E7=1,IF(E6="Construction",E12*(1-Inputs_Master!$C$38),0),0)</f>
        <v>0</v>
      </c>
      <c r="F23" s="1" t="n">
        <f aca="false">IF(F7=1,IF(F6="Construction",F12*(1-Inputs_Master!$C$38),0),0)</f>
        <v>0</v>
      </c>
      <c r="G23" s="1" t="n">
        <f aca="false">IF(G7=1,IF(G6="Construction",G12*(1-Inputs_Master!$C$38),0),0)</f>
        <v>0</v>
      </c>
      <c r="H23" s="1" t="n">
        <f aca="false">IF(H7=1,IF(H6="Construction",H12*(1-Inputs_Master!$C$38),0),0)</f>
        <v>0</v>
      </c>
      <c r="I23" s="1" t="n">
        <f aca="false">IF(I7=1,IF(I6="Construction",I12*(1-Inputs_Master!$C$38),0),0)</f>
        <v>0</v>
      </c>
      <c r="J23" s="1" t="n">
        <f aca="false">IF(J7=1,IF(J6="Construction",J12*(1-Inputs_Master!$C$38),0),0)</f>
        <v>0</v>
      </c>
      <c r="K23" s="1" t="n">
        <f aca="false">IF(K7=1,IF(K6="Construction",K12*(1-Inputs_Master!$C$38),0),0)</f>
        <v>0</v>
      </c>
      <c r="L23" s="1" t="n">
        <f aca="false">IF(L7=1,IF(L6="Construction",L12*(1-Inputs_Master!$C$38),0),0)</f>
        <v>0</v>
      </c>
      <c r="M23" s="1" t="n">
        <f aca="false">IF(M7=1,IF(M6="Construction",M12*(1-Inputs_Master!$C$38),0),0)</f>
        <v>0</v>
      </c>
      <c r="N23" s="1" t="n">
        <f aca="false">IF(N7=1,IF(N6="Construction",N12*(1-Inputs_Master!$C$38),0),0)</f>
        <v>0</v>
      </c>
      <c r="O23" s="1" t="n">
        <f aca="false">IF(O7=1,IF(O6="Construction",O12*(1-Inputs_Master!$C$38),0),0)</f>
        <v>0</v>
      </c>
      <c r="P23" s="1" t="n">
        <f aca="false">IF(P7=1,IF(P6="Construction",P12*(1-Inputs_Master!$C$38),0),0)</f>
        <v>0</v>
      </c>
      <c r="Q23" s="1" t="n">
        <f aca="false">IF(Q7=1,IF(Q6="Construction",Q12*(1-Inputs_Master!$C$38),0),0)</f>
        <v>0</v>
      </c>
      <c r="R23" s="1" t="n">
        <f aca="false">IF(R7=1,IF(R6="Construction",R12*(1-Inputs_Master!$C$38),0),0)</f>
        <v>0</v>
      </c>
      <c r="S23" s="1" t="n">
        <f aca="false">IF(S7=1,IF(S6="Construction",S12*(1-Inputs_Master!$C$38),0),0)</f>
        <v>0</v>
      </c>
      <c r="T23" s="1" t="n">
        <f aca="false">IF(T7=1,IF(T6="Construction",T12*(1-Inputs_Master!$C$38),0),0)</f>
        <v>0</v>
      </c>
      <c r="U23" s="1" t="n">
        <f aca="false">IF(U7=1,IF(U6="Construction",U12*(1-Inputs_Master!$C$38),0),0)</f>
        <v>0</v>
      </c>
      <c r="V23" s="1" t="n">
        <f aca="false">IF(V7=1,IF(V6="Construction",V12*(1-Inputs_Master!$C$38),0),0)</f>
        <v>0</v>
      </c>
      <c r="W23" s="1" t="n">
        <f aca="false">IF(W7=1,IF(W6="Construction",W12*(1-Inputs_Master!$C$38),0),0)</f>
        <v>0</v>
      </c>
      <c r="X23" s="1" t="n">
        <f aca="false">IF(X7=1,IF(X6="Construction",X12*(1-Inputs_Master!$C$38),0),0)</f>
        <v>0</v>
      </c>
      <c r="Y23" s="1" t="n">
        <f aca="false">IF(Y7=1,IF(Y6="Construction",Y12*(1-Inputs_Master!$C$38),0),0)</f>
        <v>0</v>
      </c>
      <c r="Z23" s="1" t="n">
        <f aca="false">IF(Z7=1,IF(Z6="Construction",Z12*(1-Inputs_Master!$C$38),0),0)</f>
        <v>0</v>
      </c>
      <c r="AA23" s="1" t="n">
        <f aca="false">IF(AA7=1,IF(AA6="Construction",AA12*(1-Inputs_Master!$C$38),0),0)</f>
        <v>0</v>
      </c>
      <c r="AB23" s="1" t="n">
        <f aca="false">IF(AB7=1,IF(AB6="Construction",AB12*(1-Inputs_Master!$C$38),0),0)</f>
        <v>0</v>
      </c>
      <c r="AC23" s="1" t="n">
        <f aca="false">IF(AC7=1,IF(AC6="Construction",AC12*(1-Inputs_Master!$C$38),0),0)</f>
        <v>0</v>
      </c>
      <c r="AD23" s="1" t="n">
        <f aca="false">IF(AD7=1,IF(AD6="Construction",AD12*(1-Inputs_Master!$C$38),0),0)</f>
        <v>0</v>
      </c>
      <c r="AE23" s="1" t="n">
        <f aca="false">IF(AE7=1,IF(AE6="Construction",AE12*(1-Inputs_Master!$C$38),0),0)</f>
        <v>0</v>
      </c>
      <c r="AF23" s="1" t="n">
        <f aca="false">IF(AF7=1,IF(AF6="Construction",AF12*(1-Inputs_Master!$C$38),0),0)</f>
        <v>0</v>
      </c>
      <c r="AG23" s="1" t="n">
        <f aca="false">IF(AG7=1,IF(AG6="Construction",AG12*(1-Inputs_Master!$C$38),0),0)</f>
        <v>0</v>
      </c>
      <c r="AH23" s="1" t="n">
        <f aca="false">IF(AH7=1,IF(AH6="Construction",AH12*(1-Inputs_Master!$C$38),0),0)</f>
        <v>0</v>
      </c>
      <c r="AI23" s="1" t="n">
        <f aca="false">IF(AI7=1,IF(AI6="Construction",AI12*(1-Inputs_Master!$C$38),0),0)</f>
        <v>0</v>
      </c>
      <c r="AJ23" s="1" t="n">
        <f aca="false">IF(AJ7=1,IF(AJ6="Construction",AJ12*(1-Inputs_Master!$C$38),0),0)</f>
        <v>0</v>
      </c>
    </row>
    <row r="25" customFormat="false" ht="15" hidden="false" customHeight="true" outlineLevel="0" collapsed="false">
      <c r="B25" s="16" t="s">
        <v>310</v>
      </c>
    </row>
    <row r="26" customFormat="false" ht="15" hidden="false" customHeight="true" outlineLevel="0" collapsed="false">
      <c r="B26" s="1" t="s">
        <v>311</v>
      </c>
      <c r="C26" s="1" t="n">
        <f aca="false">IF(C7=1,IF(C6="Operating",Inputs_Master!$C$60*(1+Inputs_Master!$C$61)*(1-Inputs_Master!$C$62)*POWER(1+Inputs_Master!$C$19,C5-Inputs_Master!$C$8),0),0)</f>
        <v>0</v>
      </c>
      <c r="D26" s="1" t="n">
        <f aca="false">IF(D7=1,IF(D6="Operating",Inputs_Master!$C$60*(1+Inputs_Master!$C$61)*(1-Inputs_Master!$C$62)*POWER(1+Inputs_Master!$C$19,D5-Inputs_Master!$C$8),0),0)</f>
        <v>0</v>
      </c>
      <c r="E26" s="1" t="n">
        <f aca="false">IF(E7=1,IF(E6="Operating",Inputs_Master!$C$60*(1+Inputs_Master!$C$61)*(1-Inputs_Master!$C$62)*POWER(1+Inputs_Master!$C$19,E5-Inputs_Master!$C$8),0),0)</f>
        <v>0</v>
      </c>
      <c r="F26" s="1" t="e">
        <f aca="false">IF(F7=1,IF(F6="Operating",Inputs_Master!$C$60*(1+Inputs_Master!$C$61)*(1-Inputs_Master!$C$62)*POWER(1+Inputs_Master!$C$19,F5-Inputs_Master!$C$8),0),0)</f>
        <v>#NUM!</v>
      </c>
      <c r="G26" s="1" t="e">
        <f aca="false">IF(G7=1,IF(G6="Operating",Inputs_Master!$C$60*(1+Inputs_Master!$C$61)*(1-Inputs_Master!$C$62)*POWER(1+Inputs_Master!$C$19,G5-Inputs_Master!$C$8),0),0)</f>
        <v>#NUM!</v>
      </c>
      <c r="H26" s="1" t="e">
        <f aca="false">IF(H7=1,IF(H6="Operating",Inputs_Master!$C$60*(1+Inputs_Master!$C$61)*(1-Inputs_Master!$C$62)*POWER(1+Inputs_Master!$C$19,H5-Inputs_Master!$C$8),0),0)</f>
        <v>#NUM!</v>
      </c>
      <c r="I26" s="1" t="e">
        <f aca="false">IF(I7=1,IF(I6="Operating",Inputs_Master!$C$60*(1+Inputs_Master!$C$61)*(1-Inputs_Master!$C$62)*POWER(1+Inputs_Master!$C$19,I5-Inputs_Master!$C$8),0),0)</f>
        <v>#NUM!</v>
      </c>
      <c r="J26" s="1" t="e">
        <f aca="false">IF(J7=1,IF(J6="Operating",Inputs_Master!$C$60*(1+Inputs_Master!$C$61)*(1-Inputs_Master!$C$62)*POWER(1+Inputs_Master!$C$19,J5-Inputs_Master!$C$8),0),0)</f>
        <v>#NUM!</v>
      </c>
      <c r="K26" s="1" t="e">
        <f aca="false">IF(K7=1,IF(K6="Operating",Inputs_Master!$C$60*(1+Inputs_Master!$C$61)*(1-Inputs_Master!$C$62)*POWER(1+Inputs_Master!$C$19,K5-Inputs_Master!$C$8),0),0)</f>
        <v>#NUM!</v>
      </c>
      <c r="L26" s="1" t="e">
        <f aca="false">IF(L7=1,IF(L6="Operating",Inputs_Master!$C$60*(1+Inputs_Master!$C$61)*(1-Inputs_Master!$C$62)*POWER(1+Inputs_Master!$C$19,L5-Inputs_Master!$C$8),0),0)</f>
        <v>#NUM!</v>
      </c>
      <c r="M26" s="1" t="e">
        <f aca="false">IF(M7=1,IF(M6="Operating",Inputs_Master!$C$60*(1+Inputs_Master!$C$61)*(1-Inputs_Master!$C$62)*POWER(1+Inputs_Master!$C$19,M5-Inputs_Master!$C$8),0),0)</f>
        <v>#NUM!</v>
      </c>
      <c r="N26" s="1" t="e">
        <f aca="false">IF(N7=1,IF(N6="Operating",Inputs_Master!$C$60*(1+Inputs_Master!$C$61)*(1-Inputs_Master!$C$62)*POWER(1+Inputs_Master!$C$19,N5-Inputs_Master!$C$8),0),0)</f>
        <v>#NUM!</v>
      </c>
      <c r="O26" s="1" t="e">
        <f aca="false">IF(O7=1,IF(O6="Operating",Inputs_Master!$C$60*(1+Inputs_Master!$C$61)*(1-Inputs_Master!$C$62)*POWER(1+Inputs_Master!$C$19,O5-Inputs_Master!$C$8),0),0)</f>
        <v>#NUM!</v>
      </c>
      <c r="P26" s="1" t="e">
        <f aca="false">IF(P7=1,IF(P6="Operating",Inputs_Master!$C$60*(1+Inputs_Master!$C$61)*(1-Inputs_Master!$C$62)*POWER(1+Inputs_Master!$C$19,P5-Inputs_Master!$C$8),0),0)</f>
        <v>#NUM!</v>
      </c>
      <c r="Q26" s="1" t="e">
        <f aca="false">IF(Q7=1,IF(Q6="Operating",Inputs_Master!$C$60*(1+Inputs_Master!$C$61)*(1-Inputs_Master!$C$62)*POWER(1+Inputs_Master!$C$19,Q5-Inputs_Master!$C$8),0),0)</f>
        <v>#NUM!</v>
      </c>
      <c r="R26" s="1" t="e">
        <f aca="false">IF(R7=1,IF(R6="Operating",Inputs_Master!$C$60*(1+Inputs_Master!$C$61)*(1-Inputs_Master!$C$62)*POWER(1+Inputs_Master!$C$19,R5-Inputs_Master!$C$8),0),0)</f>
        <v>#NUM!</v>
      </c>
      <c r="S26" s="1" t="e">
        <f aca="false">IF(S7=1,IF(S6="Operating",Inputs_Master!$C$60*(1+Inputs_Master!$C$61)*(1-Inputs_Master!$C$62)*POWER(1+Inputs_Master!$C$19,S5-Inputs_Master!$C$8),0),0)</f>
        <v>#NUM!</v>
      </c>
      <c r="T26" s="1" t="e">
        <f aca="false">IF(T7=1,IF(T6="Operating",Inputs_Master!$C$60*(1+Inputs_Master!$C$61)*(1-Inputs_Master!$C$62)*POWER(1+Inputs_Master!$C$19,T5-Inputs_Master!$C$8),0),0)</f>
        <v>#NUM!</v>
      </c>
      <c r="U26" s="1" t="e">
        <f aca="false">IF(U7=1,IF(U6="Operating",Inputs_Master!$C$60*(1+Inputs_Master!$C$61)*(1-Inputs_Master!$C$62)*POWER(1+Inputs_Master!$C$19,U5-Inputs_Master!$C$8),0),0)</f>
        <v>#NUM!</v>
      </c>
      <c r="V26" s="1" t="e">
        <f aca="false">IF(V7=1,IF(V6="Operating",Inputs_Master!$C$60*(1+Inputs_Master!$C$61)*(1-Inputs_Master!$C$62)*POWER(1+Inputs_Master!$C$19,V5-Inputs_Master!$C$8),0),0)</f>
        <v>#NUM!</v>
      </c>
      <c r="W26" s="1" t="e">
        <f aca="false">IF(W7=1,IF(W6="Operating",Inputs_Master!$C$60*(1+Inputs_Master!$C$61)*(1-Inputs_Master!$C$62)*POWER(1+Inputs_Master!$C$19,W5-Inputs_Master!$C$8),0),0)</f>
        <v>#NUM!</v>
      </c>
      <c r="X26" s="1" t="e">
        <f aca="false">IF(X7=1,IF(X6="Operating",Inputs_Master!$C$60*(1+Inputs_Master!$C$61)*(1-Inputs_Master!$C$62)*POWER(1+Inputs_Master!$C$19,X5-Inputs_Master!$C$8),0),0)</f>
        <v>#NUM!</v>
      </c>
      <c r="Y26" s="1" t="e">
        <f aca="false">IF(Y7=1,IF(Y6="Operating",Inputs_Master!$C$60*(1+Inputs_Master!$C$61)*(1-Inputs_Master!$C$62)*POWER(1+Inputs_Master!$C$19,Y5-Inputs_Master!$C$8),0),0)</f>
        <v>#NUM!</v>
      </c>
      <c r="Z26" s="1" t="e">
        <f aca="false">IF(Z7=1,IF(Z6="Operating",Inputs_Master!$C$60*(1+Inputs_Master!$C$61)*(1-Inputs_Master!$C$62)*POWER(1+Inputs_Master!$C$19,Z5-Inputs_Master!$C$8),0),0)</f>
        <v>#NUM!</v>
      </c>
      <c r="AA26" s="1" t="e">
        <f aca="false">IF(AA7=1,IF(AA6="Operating",Inputs_Master!$C$60*(1+Inputs_Master!$C$61)*(1-Inputs_Master!$C$62)*POWER(1+Inputs_Master!$C$19,AA5-Inputs_Master!$C$8),0),0)</f>
        <v>#NUM!</v>
      </c>
      <c r="AB26" s="1" t="e">
        <f aca="false">IF(AB7=1,IF(AB6="Operating",Inputs_Master!$C$60*(1+Inputs_Master!$C$61)*(1-Inputs_Master!$C$62)*POWER(1+Inputs_Master!$C$19,AB5-Inputs_Master!$C$8),0),0)</f>
        <v>#NUM!</v>
      </c>
      <c r="AC26" s="1" t="e">
        <f aca="false">IF(AC7=1,IF(AC6="Operating",Inputs_Master!$C$60*(1+Inputs_Master!$C$61)*(1-Inputs_Master!$C$62)*POWER(1+Inputs_Master!$C$19,AC5-Inputs_Master!$C$8),0),0)</f>
        <v>#NUM!</v>
      </c>
      <c r="AD26" s="1" t="e">
        <f aca="false">IF(AD7=1,IF(AD6="Operating",Inputs_Master!$C$60*(1+Inputs_Master!$C$61)*(1-Inputs_Master!$C$62)*POWER(1+Inputs_Master!$C$19,AD5-Inputs_Master!$C$8),0),0)</f>
        <v>#NUM!</v>
      </c>
      <c r="AE26" s="1" t="e">
        <f aca="false">IF(AE7=1,IF(AE6="Operating",Inputs_Master!$C$60*(1+Inputs_Master!$C$61)*(1-Inputs_Master!$C$62)*POWER(1+Inputs_Master!$C$19,AE5-Inputs_Master!$C$8),0),0)</f>
        <v>#NUM!</v>
      </c>
      <c r="AF26" s="1" t="e">
        <f aca="false">IF(AF7=1,IF(AF6="Operating",Inputs_Master!$C$60*(1+Inputs_Master!$C$61)*(1-Inputs_Master!$C$62)*POWER(1+Inputs_Master!$C$19,AF5-Inputs_Master!$C$8),0),0)</f>
        <v>#NUM!</v>
      </c>
      <c r="AG26" s="1" t="e">
        <f aca="false">IF(AG7=1,IF(AG6="Operating",Inputs_Master!$C$60*(1+Inputs_Master!$C$61)*(1-Inputs_Master!$C$62)*POWER(1+Inputs_Master!$C$19,AG5-Inputs_Master!$C$8),0),0)</f>
        <v>#NUM!</v>
      </c>
      <c r="AH26" s="1" t="e">
        <f aca="false">IF(AH7=1,IF(AH6="Operating",Inputs_Master!$C$60*(1+Inputs_Master!$C$61)*(1-Inputs_Master!$C$62)*POWER(1+Inputs_Master!$C$19,AH5-Inputs_Master!$C$8),0),0)</f>
        <v>#NUM!</v>
      </c>
      <c r="AI26" s="1" t="e">
        <f aca="false">IF(AI7=1,IF(AI6="Operating",Inputs_Master!$C$60*(1+Inputs_Master!$C$61)*(1-Inputs_Master!$C$62)*POWER(1+Inputs_Master!$C$19,AI5-Inputs_Master!$C$8),0),0)</f>
        <v>#NUM!</v>
      </c>
      <c r="AJ26" s="1" t="e">
        <f aca="false">IF(AJ7=1,IF(AJ6="Operating",Inputs_Master!$C$60*(1+Inputs_Master!$C$61)*(1-Inputs_Master!$C$62)*POWER(1+Inputs_Master!$C$19,AJ5-Inputs_Master!$C$8),0),0)</f>
        <v>#NUM!</v>
      </c>
    </row>
    <row r="27" customFormat="false" ht="15" hidden="false" customHeight="true" outlineLevel="0" collapsed="false">
      <c r="B27" s="1" t="s">
        <v>312</v>
      </c>
      <c r="C27" s="1" t="n">
        <f aca="false">IF(C7=1,IF(C6="Operating",IF(MOD(C5-Inputs_Master!$C$8,15)=0,Inputs_Master!$C$54*3,Inputs_Master!$C$54*0.3)*POWER(1+Inputs_Master!$C$19,C5-Inputs_Master!$C$8),0),0)</f>
        <v>0</v>
      </c>
      <c r="D27" s="1" t="n">
        <f aca="false">IF(D7=1,IF(D6="Operating",IF(MOD(D5-Inputs_Master!$C$8,15)=0,Inputs_Master!$C$54*3,Inputs_Master!$C$54*0.3)*POWER(1+Inputs_Master!$C$19,D5-Inputs_Master!$C$8),0),0)</f>
        <v>0</v>
      </c>
      <c r="E27" s="1" t="n">
        <f aca="false">IF(E7=1,IF(E6="Operating",IF(MOD(E5-Inputs_Master!$C$8,15)=0,Inputs_Master!$C$54*3,Inputs_Master!$C$54*0.3)*POWER(1+Inputs_Master!$C$19,E5-Inputs_Master!$C$8),0),0)</f>
        <v>0</v>
      </c>
      <c r="F27" s="1" t="e">
        <f aca="false">IF(F7=1,IF(F6="Operating",IF(MOD(F5-Inputs_Master!$C$8,15)=0,Inputs_Master!$C$54*3,Inputs_Master!$C$54*0.3)*POWER(1+Inputs_Master!$C$19,F5-Inputs_Master!$C$8),0),0)</f>
        <v>#N/A</v>
      </c>
      <c r="G27" s="1" t="e">
        <f aca="false">IF(G7=1,IF(G6="Operating",IF(MOD(G5-Inputs_Master!$C$8,15)=0,Inputs_Master!$C$54*3,Inputs_Master!$C$54*0.3)*POWER(1+Inputs_Master!$C$19,G5-Inputs_Master!$C$8),0),0)</f>
        <v>#N/A</v>
      </c>
      <c r="H27" s="1" t="e">
        <f aca="false">IF(H7=1,IF(H6="Operating",IF(MOD(H5-Inputs_Master!$C$8,15)=0,Inputs_Master!$C$54*3,Inputs_Master!$C$54*0.3)*POWER(1+Inputs_Master!$C$19,H5-Inputs_Master!$C$8),0),0)</f>
        <v>#N/A</v>
      </c>
      <c r="I27" s="1" t="e">
        <f aca="false">IF(I7=1,IF(I6="Operating",IF(MOD(I5-Inputs_Master!$C$8,15)=0,Inputs_Master!$C$54*3,Inputs_Master!$C$54*0.3)*POWER(1+Inputs_Master!$C$19,I5-Inputs_Master!$C$8),0),0)</f>
        <v>#N/A</v>
      </c>
      <c r="J27" s="1" t="e">
        <f aca="false">IF(J7=1,IF(J6="Operating",IF(MOD(J5-Inputs_Master!$C$8,15)=0,Inputs_Master!$C$54*3,Inputs_Master!$C$54*0.3)*POWER(1+Inputs_Master!$C$19,J5-Inputs_Master!$C$8),0),0)</f>
        <v>#N/A</v>
      </c>
      <c r="K27" s="1" t="e">
        <f aca="false">IF(K7=1,IF(K6="Operating",IF(MOD(K5-Inputs_Master!$C$8,15)=0,Inputs_Master!$C$54*3,Inputs_Master!$C$54*0.3)*POWER(1+Inputs_Master!$C$19,K5-Inputs_Master!$C$8),0),0)</f>
        <v>#N/A</v>
      </c>
      <c r="L27" s="1" t="e">
        <f aca="false">IF(L7=1,IF(L6="Operating",IF(MOD(L5-Inputs_Master!$C$8,15)=0,Inputs_Master!$C$54*3,Inputs_Master!$C$54*0.3)*POWER(1+Inputs_Master!$C$19,L5-Inputs_Master!$C$8),0),0)</f>
        <v>#N/A</v>
      </c>
      <c r="M27" s="1" t="e">
        <f aca="false">IF(M7=1,IF(M6="Operating",IF(MOD(M5-Inputs_Master!$C$8,15)=0,Inputs_Master!$C$54*3,Inputs_Master!$C$54*0.3)*POWER(1+Inputs_Master!$C$19,M5-Inputs_Master!$C$8),0),0)</f>
        <v>#N/A</v>
      </c>
      <c r="N27" s="1" t="e">
        <f aca="false">IF(N7=1,IF(N6="Operating",IF(MOD(N5-Inputs_Master!$C$8,15)=0,Inputs_Master!$C$54*3,Inputs_Master!$C$54*0.3)*POWER(1+Inputs_Master!$C$19,N5-Inputs_Master!$C$8),0),0)</f>
        <v>#N/A</v>
      </c>
      <c r="O27" s="1" t="e">
        <f aca="false">IF(O7=1,IF(O6="Operating",IF(MOD(O5-Inputs_Master!$C$8,15)=0,Inputs_Master!$C$54*3,Inputs_Master!$C$54*0.3)*POWER(1+Inputs_Master!$C$19,O5-Inputs_Master!$C$8),0),0)</f>
        <v>#N/A</v>
      </c>
      <c r="P27" s="1" t="e">
        <f aca="false">IF(P7=1,IF(P6="Operating",IF(MOD(P5-Inputs_Master!$C$8,15)=0,Inputs_Master!$C$54*3,Inputs_Master!$C$54*0.3)*POWER(1+Inputs_Master!$C$19,P5-Inputs_Master!$C$8),0),0)</f>
        <v>#N/A</v>
      </c>
      <c r="Q27" s="1" t="e">
        <f aca="false">IF(Q7=1,IF(Q6="Operating",IF(MOD(Q5-Inputs_Master!$C$8,15)=0,Inputs_Master!$C$54*3,Inputs_Master!$C$54*0.3)*POWER(1+Inputs_Master!$C$19,Q5-Inputs_Master!$C$8),0),0)</f>
        <v>#N/A</v>
      </c>
      <c r="R27" s="1" t="e">
        <f aca="false">IF(R7=1,IF(R6="Operating",IF(MOD(R5-Inputs_Master!$C$8,15)=0,Inputs_Master!$C$54*3,Inputs_Master!$C$54*0.3)*POWER(1+Inputs_Master!$C$19,R5-Inputs_Master!$C$8),0),0)</f>
        <v>#N/A</v>
      </c>
      <c r="S27" s="1" t="e">
        <f aca="false">IF(S7=1,IF(S6="Operating",IF(MOD(S5-Inputs_Master!$C$8,15)=0,Inputs_Master!$C$54*3,Inputs_Master!$C$54*0.3)*POWER(1+Inputs_Master!$C$19,S5-Inputs_Master!$C$8),0),0)</f>
        <v>#N/A</v>
      </c>
      <c r="T27" s="1" t="e">
        <f aca="false">IF(T7=1,IF(T6="Operating",IF(MOD(T5-Inputs_Master!$C$8,15)=0,Inputs_Master!$C$54*3,Inputs_Master!$C$54*0.3)*POWER(1+Inputs_Master!$C$19,T5-Inputs_Master!$C$8),0),0)</f>
        <v>#N/A</v>
      </c>
      <c r="U27" s="1" t="e">
        <f aca="false">IF(U7=1,IF(U6="Operating",IF(MOD(U5-Inputs_Master!$C$8,15)=0,Inputs_Master!$C$54*3,Inputs_Master!$C$54*0.3)*POWER(1+Inputs_Master!$C$19,U5-Inputs_Master!$C$8),0),0)</f>
        <v>#N/A</v>
      </c>
      <c r="V27" s="1" t="e">
        <f aca="false">IF(V7=1,IF(V6="Operating",IF(MOD(V5-Inputs_Master!$C$8,15)=0,Inputs_Master!$C$54*3,Inputs_Master!$C$54*0.3)*POWER(1+Inputs_Master!$C$19,V5-Inputs_Master!$C$8),0),0)</f>
        <v>#N/A</v>
      </c>
      <c r="W27" s="1" t="e">
        <f aca="false">IF(W7=1,IF(W6="Operating",IF(MOD(W5-Inputs_Master!$C$8,15)=0,Inputs_Master!$C$54*3,Inputs_Master!$C$54*0.3)*POWER(1+Inputs_Master!$C$19,W5-Inputs_Master!$C$8),0),0)</f>
        <v>#N/A</v>
      </c>
      <c r="X27" s="1" t="e">
        <f aca="false">IF(X7=1,IF(X6="Operating",IF(MOD(X5-Inputs_Master!$C$8,15)=0,Inputs_Master!$C$54*3,Inputs_Master!$C$54*0.3)*POWER(1+Inputs_Master!$C$19,X5-Inputs_Master!$C$8),0),0)</f>
        <v>#N/A</v>
      </c>
      <c r="Y27" s="1" t="e">
        <f aca="false">IF(Y7=1,IF(Y6="Operating",IF(MOD(Y5-Inputs_Master!$C$8,15)=0,Inputs_Master!$C$54*3,Inputs_Master!$C$54*0.3)*POWER(1+Inputs_Master!$C$19,Y5-Inputs_Master!$C$8),0),0)</f>
        <v>#N/A</v>
      </c>
      <c r="Z27" s="1" t="e">
        <f aca="false">IF(Z7=1,IF(Z6="Operating",IF(MOD(Z5-Inputs_Master!$C$8,15)=0,Inputs_Master!$C$54*3,Inputs_Master!$C$54*0.3)*POWER(1+Inputs_Master!$C$19,Z5-Inputs_Master!$C$8),0),0)</f>
        <v>#N/A</v>
      </c>
      <c r="AA27" s="1" t="e">
        <f aca="false">IF(AA7=1,IF(AA6="Operating",IF(MOD(AA5-Inputs_Master!$C$8,15)=0,Inputs_Master!$C$54*3,Inputs_Master!$C$54*0.3)*POWER(1+Inputs_Master!$C$19,AA5-Inputs_Master!$C$8),0),0)</f>
        <v>#N/A</v>
      </c>
      <c r="AB27" s="1" t="e">
        <f aca="false">IF(AB7=1,IF(AB6="Operating",IF(MOD(AB5-Inputs_Master!$C$8,15)=0,Inputs_Master!$C$54*3,Inputs_Master!$C$54*0.3)*POWER(1+Inputs_Master!$C$19,AB5-Inputs_Master!$C$8),0),0)</f>
        <v>#N/A</v>
      </c>
      <c r="AC27" s="1" t="e">
        <f aca="false">IF(AC7=1,IF(AC6="Operating",IF(MOD(AC5-Inputs_Master!$C$8,15)=0,Inputs_Master!$C$54*3,Inputs_Master!$C$54*0.3)*POWER(1+Inputs_Master!$C$19,AC5-Inputs_Master!$C$8),0),0)</f>
        <v>#N/A</v>
      </c>
      <c r="AD27" s="1" t="e">
        <f aca="false">IF(AD7=1,IF(AD6="Operating",IF(MOD(AD5-Inputs_Master!$C$8,15)=0,Inputs_Master!$C$54*3,Inputs_Master!$C$54*0.3)*POWER(1+Inputs_Master!$C$19,AD5-Inputs_Master!$C$8),0),0)</f>
        <v>#N/A</v>
      </c>
      <c r="AE27" s="1" t="e">
        <f aca="false">IF(AE7=1,IF(AE6="Operating",IF(MOD(AE5-Inputs_Master!$C$8,15)=0,Inputs_Master!$C$54*3,Inputs_Master!$C$54*0.3)*POWER(1+Inputs_Master!$C$19,AE5-Inputs_Master!$C$8),0),0)</f>
        <v>#N/A</v>
      </c>
      <c r="AF27" s="1" t="e">
        <f aca="false">IF(AF7=1,IF(AF6="Operating",IF(MOD(AF5-Inputs_Master!$C$8,15)=0,Inputs_Master!$C$54*3,Inputs_Master!$C$54*0.3)*POWER(1+Inputs_Master!$C$19,AF5-Inputs_Master!$C$8),0),0)</f>
        <v>#N/A</v>
      </c>
      <c r="AG27" s="1" t="e">
        <f aca="false">IF(AG7=1,IF(AG6="Operating",IF(MOD(AG5-Inputs_Master!$C$8,15)=0,Inputs_Master!$C$54*3,Inputs_Master!$C$54*0.3)*POWER(1+Inputs_Master!$C$19,AG5-Inputs_Master!$C$8),0),0)</f>
        <v>#N/A</v>
      </c>
      <c r="AH27" s="1" t="e">
        <f aca="false">IF(AH7=1,IF(AH6="Operating",IF(MOD(AH5-Inputs_Master!$C$8,15)=0,Inputs_Master!$C$54*3,Inputs_Master!$C$54*0.3)*POWER(1+Inputs_Master!$C$19,AH5-Inputs_Master!$C$8),0),0)</f>
        <v>#N/A</v>
      </c>
      <c r="AI27" s="1" t="e">
        <f aca="false">IF(AI7=1,IF(AI6="Operating",IF(MOD(AI5-Inputs_Master!$C$8,15)=0,Inputs_Master!$C$54*3,Inputs_Master!$C$54*0.3)*POWER(1+Inputs_Master!$C$19,AI5-Inputs_Master!$C$8),0),0)</f>
        <v>#N/A</v>
      </c>
      <c r="AJ27" s="1" t="e">
        <f aca="false">IF(AJ7=1,IF(AJ6="Operating",IF(MOD(AJ5-Inputs_Master!$C$8,15)=0,Inputs_Master!$C$54*3,Inputs_Master!$C$54*0.3)*POWER(1+Inputs_Master!$C$19,AJ5-Inputs_Master!$C$8),0),0)</f>
        <v>#N/A</v>
      </c>
    </row>
    <row r="28" customFormat="false" ht="15" hidden="false" customHeight="true" outlineLevel="0" collapsed="false">
      <c r="B28" s="1" t="s">
        <v>268</v>
      </c>
      <c r="C28" s="1" t="n">
        <f aca="false">IF(C7=1,IF(C6="Operating",Inputs_Master!$C$63*POWER(1+Inputs_Master!$C$19,C5-Inputs_Master!$C$8),0),0)</f>
        <v>0</v>
      </c>
      <c r="D28" s="1" t="n">
        <f aca="false">IF(D7=1,IF(D6="Operating",Inputs_Master!$C$63*POWER(1+Inputs_Master!$C$19,D5-Inputs_Master!$C$8),0),0)</f>
        <v>0</v>
      </c>
      <c r="E28" s="1" t="n">
        <f aca="false">IF(E7=1,IF(E6="Operating",Inputs_Master!$C$63*POWER(1+Inputs_Master!$C$19,E5-Inputs_Master!$C$8),0),0)</f>
        <v>0</v>
      </c>
      <c r="F28" s="1" t="e">
        <f aca="false">IF(F7=1,IF(F6="Operating",Inputs_Master!$C$63*POWER(1+Inputs_Master!$C$19,F5-Inputs_Master!$C$8),0),0)</f>
        <v>#N/A</v>
      </c>
      <c r="G28" s="1" t="e">
        <f aca="false">IF(G7=1,IF(G6="Operating",Inputs_Master!$C$63*POWER(1+Inputs_Master!$C$19,G5-Inputs_Master!$C$8),0),0)</f>
        <v>#N/A</v>
      </c>
      <c r="H28" s="1" t="e">
        <f aca="false">IF(H7=1,IF(H6="Operating",Inputs_Master!$C$63*POWER(1+Inputs_Master!$C$19,H5-Inputs_Master!$C$8),0),0)</f>
        <v>#N/A</v>
      </c>
      <c r="I28" s="1" t="e">
        <f aca="false">IF(I7=1,IF(I6="Operating",Inputs_Master!$C$63*POWER(1+Inputs_Master!$C$19,I5-Inputs_Master!$C$8),0),0)</f>
        <v>#N/A</v>
      </c>
      <c r="J28" s="1" t="e">
        <f aca="false">IF(J7=1,IF(J6="Operating",Inputs_Master!$C$63*POWER(1+Inputs_Master!$C$19,J5-Inputs_Master!$C$8),0),0)</f>
        <v>#N/A</v>
      </c>
      <c r="K28" s="1" t="e">
        <f aca="false">IF(K7=1,IF(K6="Operating",Inputs_Master!$C$63*POWER(1+Inputs_Master!$C$19,K5-Inputs_Master!$C$8),0),0)</f>
        <v>#N/A</v>
      </c>
      <c r="L28" s="1" t="e">
        <f aca="false">IF(L7=1,IF(L6="Operating",Inputs_Master!$C$63*POWER(1+Inputs_Master!$C$19,L5-Inputs_Master!$C$8),0),0)</f>
        <v>#N/A</v>
      </c>
      <c r="M28" s="1" t="e">
        <f aca="false">IF(M7=1,IF(M6="Operating",Inputs_Master!$C$63*POWER(1+Inputs_Master!$C$19,M5-Inputs_Master!$C$8),0),0)</f>
        <v>#N/A</v>
      </c>
      <c r="N28" s="1" t="e">
        <f aca="false">IF(N7=1,IF(N6="Operating",Inputs_Master!$C$63*POWER(1+Inputs_Master!$C$19,N5-Inputs_Master!$C$8),0),0)</f>
        <v>#N/A</v>
      </c>
      <c r="O28" s="1" t="e">
        <f aca="false">IF(O7=1,IF(O6="Operating",Inputs_Master!$C$63*POWER(1+Inputs_Master!$C$19,O5-Inputs_Master!$C$8),0),0)</f>
        <v>#N/A</v>
      </c>
      <c r="P28" s="1" t="e">
        <f aca="false">IF(P7=1,IF(P6="Operating",Inputs_Master!$C$63*POWER(1+Inputs_Master!$C$19,P5-Inputs_Master!$C$8),0),0)</f>
        <v>#N/A</v>
      </c>
      <c r="Q28" s="1" t="e">
        <f aca="false">IF(Q7=1,IF(Q6="Operating",Inputs_Master!$C$63*POWER(1+Inputs_Master!$C$19,Q5-Inputs_Master!$C$8),0),0)</f>
        <v>#N/A</v>
      </c>
      <c r="R28" s="1" t="e">
        <f aca="false">IF(R7=1,IF(R6="Operating",Inputs_Master!$C$63*POWER(1+Inputs_Master!$C$19,R5-Inputs_Master!$C$8),0),0)</f>
        <v>#N/A</v>
      </c>
      <c r="S28" s="1" t="e">
        <f aca="false">IF(S7=1,IF(S6="Operating",Inputs_Master!$C$63*POWER(1+Inputs_Master!$C$19,S5-Inputs_Master!$C$8),0),0)</f>
        <v>#N/A</v>
      </c>
      <c r="T28" s="1" t="e">
        <f aca="false">IF(T7=1,IF(T6="Operating",Inputs_Master!$C$63*POWER(1+Inputs_Master!$C$19,T5-Inputs_Master!$C$8),0),0)</f>
        <v>#N/A</v>
      </c>
      <c r="U28" s="1" t="e">
        <f aca="false">IF(U7=1,IF(U6="Operating",Inputs_Master!$C$63*POWER(1+Inputs_Master!$C$19,U5-Inputs_Master!$C$8),0),0)</f>
        <v>#N/A</v>
      </c>
      <c r="V28" s="1" t="e">
        <f aca="false">IF(V7=1,IF(V6="Operating",Inputs_Master!$C$63*POWER(1+Inputs_Master!$C$19,V5-Inputs_Master!$C$8),0),0)</f>
        <v>#N/A</v>
      </c>
      <c r="W28" s="1" t="e">
        <f aca="false">IF(W7=1,IF(W6="Operating",Inputs_Master!$C$63*POWER(1+Inputs_Master!$C$19,W5-Inputs_Master!$C$8),0),0)</f>
        <v>#N/A</v>
      </c>
      <c r="X28" s="1" t="e">
        <f aca="false">IF(X7=1,IF(X6="Operating",Inputs_Master!$C$63*POWER(1+Inputs_Master!$C$19,X5-Inputs_Master!$C$8),0),0)</f>
        <v>#N/A</v>
      </c>
      <c r="Y28" s="1" t="e">
        <f aca="false">IF(Y7=1,IF(Y6="Operating",Inputs_Master!$C$63*POWER(1+Inputs_Master!$C$19,Y5-Inputs_Master!$C$8),0),0)</f>
        <v>#N/A</v>
      </c>
      <c r="Z28" s="1" t="e">
        <f aca="false">IF(Z7=1,IF(Z6="Operating",Inputs_Master!$C$63*POWER(1+Inputs_Master!$C$19,Z5-Inputs_Master!$C$8),0),0)</f>
        <v>#N/A</v>
      </c>
      <c r="AA28" s="1" t="e">
        <f aca="false">IF(AA7=1,IF(AA6="Operating",Inputs_Master!$C$63*POWER(1+Inputs_Master!$C$19,AA5-Inputs_Master!$C$8),0),0)</f>
        <v>#N/A</v>
      </c>
      <c r="AB28" s="1" t="e">
        <f aca="false">IF(AB7=1,IF(AB6="Operating",Inputs_Master!$C$63*POWER(1+Inputs_Master!$C$19,AB5-Inputs_Master!$C$8),0),0)</f>
        <v>#N/A</v>
      </c>
      <c r="AC28" s="1" t="e">
        <f aca="false">IF(AC7=1,IF(AC6="Operating",Inputs_Master!$C$63*POWER(1+Inputs_Master!$C$19,AC5-Inputs_Master!$C$8),0),0)</f>
        <v>#N/A</v>
      </c>
      <c r="AD28" s="1" t="e">
        <f aca="false">IF(AD7=1,IF(AD6="Operating",Inputs_Master!$C$63*POWER(1+Inputs_Master!$C$19,AD5-Inputs_Master!$C$8),0),0)</f>
        <v>#N/A</v>
      </c>
      <c r="AE28" s="1" t="e">
        <f aca="false">IF(AE7=1,IF(AE6="Operating",Inputs_Master!$C$63*POWER(1+Inputs_Master!$C$19,AE5-Inputs_Master!$C$8),0),0)</f>
        <v>#N/A</v>
      </c>
      <c r="AF28" s="1" t="e">
        <f aca="false">IF(AF7=1,IF(AF6="Operating",Inputs_Master!$C$63*POWER(1+Inputs_Master!$C$19,AF5-Inputs_Master!$C$8),0),0)</f>
        <v>#N/A</v>
      </c>
      <c r="AG28" s="1" t="e">
        <f aca="false">IF(AG7=1,IF(AG6="Operating",Inputs_Master!$C$63*POWER(1+Inputs_Master!$C$19,AG5-Inputs_Master!$C$8),0),0)</f>
        <v>#N/A</v>
      </c>
      <c r="AH28" s="1" t="e">
        <f aca="false">IF(AH7=1,IF(AH6="Operating",Inputs_Master!$C$63*POWER(1+Inputs_Master!$C$19,AH5-Inputs_Master!$C$8),0),0)</f>
        <v>#N/A</v>
      </c>
      <c r="AI28" s="1" t="e">
        <f aca="false">IF(AI7=1,IF(AI6="Operating",Inputs_Master!$C$63*POWER(1+Inputs_Master!$C$19,AI5-Inputs_Master!$C$8),0),0)</f>
        <v>#N/A</v>
      </c>
      <c r="AJ28" s="1" t="e">
        <f aca="false">IF(AJ7=1,IF(AJ6="Operating",Inputs_Master!$C$63*POWER(1+Inputs_Master!$C$19,AJ5-Inputs_Master!$C$8),0),0)</f>
        <v>#N/A</v>
      </c>
    </row>
    <row r="29" customFormat="false" ht="15" hidden="false" customHeight="true" outlineLevel="0" collapsed="false">
      <c r="B29" s="20" t="s">
        <v>313</v>
      </c>
      <c r="C29" s="21" t="n">
        <f aca="false">IF(C7=1,C26+C27+C28,0)</f>
        <v>0</v>
      </c>
      <c r="D29" s="21" t="n">
        <f aca="false">IF(D7=1,D26+D27+D28,0)</f>
        <v>0</v>
      </c>
      <c r="E29" s="21" t="n">
        <f aca="false">IF(E7=1,E26+E27+E28,0)</f>
        <v>0</v>
      </c>
      <c r="F29" s="21" t="e">
        <f aca="false">IF(F7=1,F26+F27+F28,0)</f>
        <v>#N/A</v>
      </c>
      <c r="G29" s="21" t="e">
        <f aca="false">IF(G7=1,G26+G27+G28,0)</f>
        <v>#N/A</v>
      </c>
      <c r="H29" s="21" t="e">
        <f aca="false">IF(H7=1,H26+H27+H28,0)</f>
        <v>#N/A</v>
      </c>
      <c r="I29" s="21" t="e">
        <f aca="false">IF(I7=1,I26+I27+I28,0)</f>
        <v>#N/A</v>
      </c>
      <c r="J29" s="21" t="e">
        <f aca="false">IF(J7=1,J26+J27+J28,0)</f>
        <v>#N/A</v>
      </c>
      <c r="K29" s="21" t="e">
        <f aca="false">IF(K7=1,K26+K27+K28,0)</f>
        <v>#N/A</v>
      </c>
      <c r="L29" s="21" t="e">
        <f aca="false">IF(L7=1,L26+L27+L28,0)</f>
        <v>#N/A</v>
      </c>
      <c r="M29" s="21" t="e">
        <f aca="false">IF(M7=1,M26+M27+M28,0)</f>
        <v>#N/A</v>
      </c>
      <c r="N29" s="21" t="e">
        <f aca="false">IF(N7=1,N26+N27+N28,0)</f>
        <v>#N/A</v>
      </c>
      <c r="O29" s="21" t="e">
        <f aca="false">IF(O7=1,O26+O27+O28,0)</f>
        <v>#N/A</v>
      </c>
      <c r="P29" s="21" t="e">
        <f aca="false">IF(P7=1,P26+P27+P28,0)</f>
        <v>#N/A</v>
      </c>
      <c r="Q29" s="21" t="e">
        <f aca="false">IF(Q7=1,Q26+Q27+Q28,0)</f>
        <v>#N/A</v>
      </c>
      <c r="R29" s="21" t="e">
        <f aca="false">IF(R7=1,R26+R27+R28,0)</f>
        <v>#N/A</v>
      </c>
      <c r="S29" s="21" t="e">
        <f aca="false">IF(S7=1,S26+S27+S28,0)</f>
        <v>#N/A</v>
      </c>
      <c r="T29" s="21" t="e">
        <f aca="false">IF(T7=1,T26+T27+T28,0)</f>
        <v>#N/A</v>
      </c>
      <c r="U29" s="21" t="e">
        <f aca="false">IF(U7=1,U26+U27+U28,0)</f>
        <v>#N/A</v>
      </c>
      <c r="V29" s="21" t="e">
        <f aca="false">IF(V7=1,V26+V27+V28,0)</f>
        <v>#N/A</v>
      </c>
      <c r="W29" s="21" t="e">
        <f aca="false">IF(W7=1,W26+W27+W28,0)</f>
        <v>#N/A</v>
      </c>
      <c r="X29" s="21" t="e">
        <f aca="false">IF(X7=1,X26+X27+X28,0)</f>
        <v>#N/A</v>
      </c>
      <c r="Y29" s="21" t="e">
        <f aca="false">IF(Y7=1,Y26+Y27+Y28,0)</f>
        <v>#N/A</v>
      </c>
      <c r="Z29" s="21" t="e">
        <f aca="false">IF(Z7=1,Z26+Z27+Z28,0)</f>
        <v>#N/A</v>
      </c>
      <c r="AA29" s="21" t="e">
        <f aca="false">IF(AA7=1,AA26+AA27+AA28,0)</f>
        <v>#N/A</v>
      </c>
      <c r="AB29" s="21" t="e">
        <f aca="false">IF(AB7=1,AB26+AB27+AB28,0)</f>
        <v>#N/A</v>
      </c>
      <c r="AC29" s="21" t="e">
        <f aca="false">IF(AC7=1,AC26+AC27+AC28,0)</f>
        <v>#N/A</v>
      </c>
      <c r="AD29" s="21" t="e">
        <f aca="false">IF(AD7=1,AD26+AD27+AD28,0)</f>
        <v>#N/A</v>
      </c>
      <c r="AE29" s="21" t="e">
        <f aca="false">IF(AE7=1,AE26+AE27+AE28,0)</f>
        <v>#N/A</v>
      </c>
      <c r="AF29" s="21" t="e">
        <f aca="false">IF(AF7=1,AF26+AF27+AF28,0)</f>
        <v>#N/A</v>
      </c>
      <c r="AG29" s="21" t="e">
        <f aca="false">IF(AG7=1,AG26+AG27+AG28,0)</f>
        <v>#N/A</v>
      </c>
      <c r="AH29" s="21" t="e">
        <f aca="false">IF(AH7=1,AH26+AH27+AH28,0)</f>
        <v>#N/A</v>
      </c>
      <c r="AI29" s="21" t="e">
        <f aca="false">IF(AI7=1,AI26+AI27+AI28,0)</f>
        <v>#N/A</v>
      </c>
      <c r="AJ29" s="21" t="e">
        <f aca="false">IF(AJ7=1,AJ26+AJ27+AJ28,0)</f>
        <v>#N/A</v>
      </c>
    </row>
    <row r="31" customFormat="false" ht="15" hidden="false" customHeight="true" outlineLevel="0" collapsed="false">
      <c r="B31" s="16" t="s">
        <v>314</v>
      </c>
    </row>
    <row r="32" customFormat="false" ht="15" hidden="false" customHeight="true" outlineLevel="0" collapsed="false">
      <c r="B32" s="1" t="s">
        <v>315</v>
      </c>
      <c r="C32" s="1" t="n">
        <f aca="false">IF(C7=1,IF(C6="Operating",Inputs_Master!$C$59*POWER(1+Inputs_Master!$C$17,C5-Inputs_Master!$C$8),0),0)</f>
        <v>0</v>
      </c>
      <c r="D32" s="1" t="n">
        <f aca="false">IF(D7=1,IF(D6="Operating",Inputs_Master!$C$59*POWER(1+Inputs_Master!$C$17,D5-Inputs_Master!$C$8),0),0)</f>
        <v>0</v>
      </c>
      <c r="E32" s="1" t="n">
        <f aca="false">IF(E7=1,IF(E6="Operating",Inputs_Master!$C$59*POWER(1+Inputs_Master!$C$17,E5-Inputs_Master!$C$8),0),0)</f>
        <v>0</v>
      </c>
      <c r="F32" s="1" t="n">
        <f aca="false">IF(F7=1,IF(F6="Operating",Inputs_Master!$C$59*POWER(1+Inputs_Master!$C$17,F5-Inputs_Master!$C$8),0),0)</f>
        <v>0.8</v>
      </c>
      <c r="G32" s="1" t="n">
        <f aca="false">IF(G7=1,IF(G6="Operating",Inputs_Master!$C$59*POWER(1+Inputs_Master!$C$17,G5-Inputs_Master!$C$8),0),0)</f>
        <v>0.8</v>
      </c>
      <c r="H32" s="1" t="n">
        <f aca="false">IF(H7=1,IF(H6="Operating",Inputs_Master!$C$59*POWER(1+Inputs_Master!$C$17,H5-Inputs_Master!$C$8),0),0)</f>
        <v>0.8</v>
      </c>
      <c r="I32" s="1" t="n">
        <f aca="false">IF(I7=1,IF(I6="Operating",Inputs_Master!$C$59*POWER(1+Inputs_Master!$C$17,I5-Inputs_Master!$C$8),0),0)</f>
        <v>0.8</v>
      </c>
      <c r="J32" s="1" t="n">
        <f aca="false">IF(J7=1,IF(J6="Operating",Inputs_Master!$C$59*POWER(1+Inputs_Master!$C$17,J5-Inputs_Master!$C$8),0),0)</f>
        <v>0.8</v>
      </c>
      <c r="K32" s="1" t="n">
        <f aca="false">IF(K7=1,IF(K6="Operating",Inputs_Master!$C$59*POWER(1+Inputs_Master!$C$17,K5-Inputs_Master!$C$8),0),0)</f>
        <v>0.8</v>
      </c>
      <c r="L32" s="1" t="n">
        <f aca="false">IF(L7=1,IF(L6="Operating",Inputs_Master!$C$59*POWER(1+Inputs_Master!$C$17,L5-Inputs_Master!$C$8),0),0)</f>
        <v>0.8</v>
      </c>
      <c r="M32" s="1" t="n">
        <f aca="false">IF(M7=1,IF(M6="Operating",Inputs_Master!$C$59*POWER(1+Inputs_Master!$C$17,M5-Inputs_Master!$C$8),0),0)</f>
        <v>0.8</v>
      </c>
      <c r="N32" s="1" t="n">
        <f aca="false">IF(N7=1,IF(N6="Operating",Inputs_Master!$C$59*POWER(1+Inputs_Master!$C$17,N5-Inputs_Master!$C$8),0),0)</f>
        <v>0.8</v>
      </c>
      <c r="O32" s="1" t="n">
        <f aca="false">IF(O7=1,IF(O6="Operating",Inputs_Master!$C$59*POWER(1+Inputs_Master!$C$17,O5-Inputs_Master!$C$8),0),0)</f>
        <v>0.8</v>
      </c>
      <c r="P32" s="1" t="n">
        <f aca="false">IF(P7=1,IF(P6="Operating",Inputs_Master!$C$59*POWER(1+Inputs_Master!$C$17,P5-Inputs_Master!$C$8),0),0)</f>
        <v>0.8</v>
      </c>
      <c r="Q32" s="1" t="n">
        <f aca="false">IF(Q7=1,IF(Q6="Operating",Inputs_Master!$C$59*POWER(1+Inputs_Master!$C$17,Q5-Inputs_Master!$C$8),0),0)</f>
        <v>0.8</v>
      </c>
      <c r="R32" s="1" t="n">
        <f aca="false">IF(R7=1,IF(R6="Operating",Inputs_Master!$C$59*POWER(1+Inputs_Master!$C$17,R5-Inputs_Master!$C$8),0),0)</f>
        <v>0.8</v>
      </c>
      <c r="S32" s="1" t="n">
        <f aca="false">IF(S7=1,IF(S6="Operating",Inputs_Master!$C$59*POWER(1+Inputs_Master!$C$17,S5-Inputs_Master!$C$8),0),0)</f>
        <v>0.8</v>
      </c>
      <c r="T32" s="1" t="n">
        <f aca="false">IF(T7=1,IF(T6="Operating",Inputs_Master!$C$59*POWER(1+Inputs_Master!$C$17,T5-Inputs_Master!$C$8),0),0)</f>
        <v>0.8</v>
      </c>
      <c r="U32" s="1" t="n">
        <f aca="false">IF(U7=1,IF(U6="Operating",Inputs_Master!$C$59*POWER(1+Inputs_Master!$C$17,U5-Inputs_Master!$C$8),0),0)</f>
        <v>0.8</v>
      </c>
      <c r="V32" s="1" t="n">
        <f aca="false">IF(V7=1,IF(V6="Operating",Inputs_Master!$C$59*POWER(1+Inputs_Master!$C$17,V5-Inputs_Master!$C$8),0),0)</f>
        <v>0.8</v>
      </c>
      <c r="W32" s="1" t="n">
        <f aca="false">IF(W7=1,IF(W6="Operating",Inputs_Master!$C$59*POWER(1+Inputs_Master!$C$17,W5-Inputs_Master!$C$8),0),0)</f>
        <v>0.8</v>
      </c>
      <c r="X32" s="1" t="n">
        <f aca="false">IF(X7=1,IF(X6="Operating",Inputs_Master!$C$59*POWER(1+Inputs_Master!$C$17,X5-Inputs_Master!$C$8),0),0)</f>
        <v>0.8</v>
      </c>
      <c r="Y32" s="1" t="n">
        <f aca="false">IF(Y7=1,IF(Y6="Operating",Inputs_Master!$C$59*POWER(1+Inputs_Master!$C$17,Y5-Inputs_Master!$C$8),0),0)</f>
        <v>0.8</v>
      </c>
      <c r="Z32" s="1" t="n">
        <f aca="false">IF(Z7=1,IF(Z6="Operating",Inputs_Master!$C$59*POWER(1+Inputs_Master!$C$17,Z5-Inputs_Master!$C$8),0),0)</f>
        <v>0.8</v>
      </c>
      <c r="AA32" s="1" t="n">
        <f aca="false">IF(AA7=1,IF(AA6="Operating",Inputs_Master!$C$59*POWER(1+Inputs_Master!$C$17,AA5-Inputs_Master!$C$8),0),0)</f>
        <v>0.8</v>
      </c>
      <c r="AB32" s="1" t="n">
        <f aca="false">IF(AB7=1,IF(AB6="Operating",Inputs_Master!$C$59*POWER(1+Inputs_Master!$C$17,AB5-Inputs_Master!$C$8),0),0)</f>
        <v>0.8</v>
      </c>
      <c r="AC32" s="1" t="n">
        <f aca="false">IF(AC7=1,IF(AC6="Operating",Inputs_Master!$C$59*POWER(1+Inputs_Master!$C$17,AC5-Inputs_Master!$C$8),0),0)</f>
        <v>0.8</v>
      </c>
      <c r="AD32" s="1" t="n">
        <f aca="false">IF(AD7=1,IF(AD6="Operating",Inputs_Master!$C$59*POWER(1+Inputs_Master!$C$17,AD5-Inputs_Master!$C$8),0),0)</f>
        <v>0.8</v>
      </c>
      <c r="AE32" s="1" t="n">
        <f aca="false">IF(AE7=1,IF(AE6="Operating",Inputs_Master!$C$59*POWER(1+Inputs_Master!$C$17,AE5-Inputs_Master!$C$8),0),0)</f>
        <v>0.8</v>
      </c>
      <c r="AF32" s="1" t="n">
        <f aca="false">IF(AF7=1,IF(AF6="Operating",Inputs_Master!$C$59*POWER(1+Inputs_Master!$C$17,AF5-Inputs_Master!$C$8),0),0)</f>
        <v>0.8</v>
      </c>
      <c r="AG32" s="1" t="n">
        <f aca="false">IF(AG7=1,IF(AG6="Operating",Inputs_Master!$C$59*POWER(1+Inputs_Master!$C$17,AG5-Inputs_Master!$C$8),0),0)</f>
        <v>0.8</v>
      </c>
      <c r="AH32" s="1" t="n">
        <f aca="false">IF(AH7=1,IF(AH6="Operating",Inputs_Master!$C$59*POWER(1+Inputs_Master!$C$17,AH5-Inputs_Master!$C$8),0),0)</f>
        <v>0.8</v>
      </c>
      <c r="AI32" s="1" t="n">
        <f aca="false">IF(AI7=1,IF(AI6="Operating",Inputs_Master!$C$59*POWER(1+Inputs_Master!$C$17,AI5-Inputs_Master!$C$8),0),0)</f>
        <v>0.8</v>
      </c>
      <c r="AJ32" s="1" t="n">
        <f aca="false">IF(AJ7=1,IF(AJ6="Operating",Inputs_Master!$C$59*POWER(1+Inputs_Master!$C$17,AJ5-Inputs_Master!$C$8),0),0)</f>
        <v>0.8</v>
      </c>
    </row>
    <row r="33" customFormat="false" ht="15" hidden="false" customHeight="true" outlineLevel="0" collapsed="false">
      <c r="B33" s="1" t="s">
        <v>316</v>
      </c>
      <c r="C33" s="1" t="n">
        <f aca="false">IF(C7=1,-C32*Inputs_Master!$C$62,0)</f>
        <v>-0</v>
      </c>
      <c r="D33" s="1" t="n">
        <f aca="false">IF(D7=1,-D32*Inputs_Master!$C$62,0)</f>
        <v>-0</v>
      </c>
      <c r="E33" s="1" t="n">
        <f aca="false">IF(E7=1,-E32*Inputs_Master!$C$62,0)</f>
        <v>-0</v>
      </c>
      <c r="F33" s="1" t="n">
        <f aca="false">IF(F7=1,-F32*Inputs_Master!$C$62,0)</f>
        <v>-0</v>
      </c>
      <c r="G33" s="1" t="n">
        <f aca="false">IF(G7=1,-G32*Inputs_Master!$C$62,0)</f>
        <v>-0</v>
      </c>
      <c r="H33" s="1" t="n">
        <f aca="false">IF(H7=1,-H32*Inputs_Master!$C$62,0)</f>
        <v>-0</v>
      </c>
      <c r="I33" s="1" t="n">
        <f aca="false">IF(I7=1,-I32*Inputs_Master!$C$62,0)</f>
        <v>-0</v>
      </c>
      <c r="J33" s="1" t="n">
        <f aca="false">IF(J7=1,-J32*Inputs_Master!$C$62,0)</f>
        <v>-0</v>
      </c>
      <c r="K33" s="1" t="n">
        <f aca="false">IF(K7=1,-K32*Inputs_Master!$C$62,0)</f>
        <v>-0</v>
      </c>
      <c r="L33" s="1" t="n">
        <f aca="false">IF(L7=1,-L32*Inputs_Master!$C$62,0)</f>
        <v>-0</v>
      </c>
      <c r="M33" s="1" t="n">
        <f aca="false">IF(M7=1,-M32*Inputs_Master!$C$62,0)</f>
        <v>-0</v>
      </c>
      <c r="N33" s="1" t="n">
        <f aca="false">IF(N7=1,-N32*Inputs_Master!$C$62,0)</f>
        <v>-0</v>
      </c>
      <c r="O33" s="1" t="n">
        <f aca="false">IF(O7=1,-O32*Inputs_Master!$C$62,0)</f>
        <v>-0</v>
      </c>
      <c r="P33" s="1" t="n">
        <f aca="false">IF(P7=1,-P32*Inputs_Master!$C$62,0)</f>
        <v>-0</v>
      </c>
      <c r="Q33" s="1" t="n">
        <f aca="false">IF(Q7=1,-Q32*Inputs_Master!$C$62,0)</f>
        <v>-0</v>
      </c>
      <c r="R33" s="1" t="n">
        <f aca="false">IF(R7=1,-R32*Inputs_Master!$C$62,0)</f>
        <v>-0</v>
      </c>
      <c r="S33" s="1" t="n">
        <f aca="false">IF(S7=1,-S32*Inputs_Master!$C$62,0)</f>
        <v>-0</v>
      </c>
      <c r="T33" s="1" t="n">
        <f aca="false">IF(T7=1,-T32*Inputs_Master!$C$62,0)</f>
        <v>-0</v>
      </c>
      <c r="U33" s="1" t="n">
        <f aca="false">IF(U7=1,-U32*Inputs_Master!$C$62,0)</f>
        <v>-0</v>
      </c>
      <c r="V33" s="1" t="n">
        <f aca="false">IF(V7=1,-V32*Inputs_Master!$C$62,0)</f>
        <v>-0</v>
      </c>
      <c r="W33" s="1" t="n">
        <f aca="false">IF(W7=1,-W32*Inputs_Master!$C$62,0)</f>
        <v>-0</v>
      </c>
      <c r="X33" s="1" t="n">
        <f aca="false">IF(X7=1,-X32*Inputs_Master!$C$62,0)</f>
        <v>-0</v>
      </c>
      <c r="Y33" s="1" t="n">
        <f aca="false">IF(Y7=1,-Y32*Inputs_Master!$C$62,0)</f>
        <v>-0</v>
      </c>
      <c r="Z33" s="1" t="n">
        <f aca="false">IF(Z7=1,-Z32*Inputs_Master!$C$62,0)</f>
        <v>-0</v>
      </c>
      <c r="AA33" s="1" t="n">
        <f aca="false">IF(AA7=1,-AA32*Inputs_Master!$C$62,0)</f>
        <v>-0</v>
      </c>
      <c r="AB33" s="1" t="n">
        <f aca="false">IF(AB7=1,-AB32*Inputs_Master!$C$62,0)</f>
        <v>-0</v>
      </c>
      <c r="AC33" s="1" t="n">
        <f aca="false">IF(AC7=1,-AC32*Inputs_Master!$C$62,0)</f>
        <v>-0</v>
      </c>
      <c r="AD33" s="1" t="n">
        <f aca="false">IF(AD7=1,-AD32*Inputs_Master!$C$62,0)</f>
        <v>-0</v>
      </c>
      <c r="AE33" s="1" t="n">
        <f aca="false">IF(AE7=1,-AE32*Inputs_Master!$C$62,0)</f>
        <v>-0</v>
      </c>
      <c r="AF33" s="1" t="n">
        <f aca="false">IF(AF7=1,-AF32*Inputs_Master!$C$62,0)</f>
        <v>-0</v>
      </c>
      <c r="AG33" s="1" t="n">
        <f aca="false">IF(AG7=1,-AG32*Inputs_Master!$C$62,0)</f>
        <v>-0</v>
      </c>
      <c r="AH33" s="1" t="n">
        <f aca="false">IF(AH7=1,-AH32*Inputs_Master!$C$62,0)</f>
        <v>-0</v>
      </c>
      <c r="AI33" s="1" t="n">
        <f aca="false">IF(AI7=1,-AI32*Inputs_Master!$C$62,0)</f>
        <v>-0</v>
      </c>
      <c r="AJ33" s="1" t="n">
        <f aca="false">IF(AJ7=1,-AJ32*Inputs_Master!$C$62,0)</f>
        <v>-0</v>
      </c>
    </row>
    <row r="34" customFormat="false" ht="15" hidden="false" customHeight="true" outlineLevel="0" collapsed="false">
      <c r="B34" s="20" t="s">
        <v>317</v>
      </c>
      <c r="C34" s="21" t="n">
        <f aca="false">IF(C7=1,C32+C33,0)</f>
        <v>0</v>
      </c>
      <c r="D34" s="21" t="n">
        <f aca="false">IF(D7=1,D32+D33,0)</f>
        <v>0</v>
      </c>
      <c r="E34" s="21" t="n">
        <f aca="false">IF(E7=1,E32+E33,0)</f>
        <v>0</v>
      </c>
      <c r="F34" s="21" t="n">
        <f aca="false">IF(F7=1,F32+F33,0)</f>
        <v>0.8</v>
      </c>
      <c r="G34" s="21" t="n">
        <f aca="false">IF(G7=1,G32+G33,0)</f>
        <v>0.8</v>
      </c>
      <c r="H34" s="21" t="n">
        <f aca="false">IF(H7=1,H32+H33,0)</f>
        <v>0.8</v>
      </c>
      <c r="I34" s="21" t="n">
        <f aca="false">IF(I7=1,I32+I33,0)</f>
        <v>0.8</v>
      </c>
      <c r="J34" s="21" t="n">
        <f aca="false">IF(J7=1,J32+J33,0)</f>
        <v>0.8</v>
      </c>
      <c r="K34" s="21" t="n">
        <f aca="false">IF(K7=1,K32+K33,0)</f>
        <v>0.8</v>
      </c>
      <c r="L34" s="21" t="n">
        <f aca="false">IF(L7=1,L32+L33,0)</f>
        <v>0.8</v>
      </c>
      <c r="M34" s="21" t="n">
        <f aca="false">IF(M7=1,M32+M33,0)</f>
        <v>0.8</v>
      </c>
      <c r="N34" s="21" t="n">
        <f aca="false">IF(N7=1,N32+N33,0)</f>
        <v>0.8</v>
      </c>
      <c r="O34" s="21" t="n">
        <f aca="false">IF(O7=1,O32+O33,0)</f>
        <v>0.8</v>
      </c>
      <c r="P34" s="21" t="n">
        <f aca="false">IF(P7=1,P32+P33,0)</f>
        <v>0.8</v>
      </c>
      <c r="Q34" s="21" t="n">
        <f aca="false">IF(Q7=1,Q32+Q33,0)</f>
        <v>0.8</v>
      </c>
      <c r="R34" s="21" t="n">
        <f aca="false">IF(R7=1,R32+R33,0)</f>
        <v>0.8</v>
      </c>
      <c r="S34" s="21" t="n">
        <f aca="false">IF(S7=1,S32+S33,0)</f>
        <v>0.8</v>
      </c>
      <c r="T34" s="21" t="n">
        <f aca="false">IF(T7=1,T32+T33,0)</f>
        <v>0.8</v>
      </c>
      <c r="U34" s="21" t="n">
        <f aca="false">IF(U7=1,U32+U33,0)</f>
        <v>0.8</v>
      </c>
      <c r="V34" s="21" t="n">
        <f aca="false">IF(V7=1,V32+V33,0)</f>
        <v>0.8</v>
      </c>
      <c r="W34" s="21" t="n">
        <f aca="false">IF(W7=1,W32+W33,0)</f>
        <v>0.8</v>
      </c>
      <c r="X34" s="21" t="n">
        <f aca="false">IF(X7=1,X32+X33,0)</f>
        <v>0.8</v>
      </c>
      <c r="Y34" s="21" t="n">
        <f aca="false">IF(Y7=1,Y32+Y33,0)</f>
        <v>0.8</v>
      </c>
      <c r="Z34" s="21" t="n">
        <f aca="false">IF(Z7=1,Z32+Z33,0)</f>
        <v>0.8</v>
      </c>
      <c r="AA34" s="21" t="n">
        <f aca="false">IF(AA7=1,AA32+AA33,0)</f>
        <v>0.8</v>
      </c>
      <c r="AB34" s="21" t="n">
        <f aca="false">IF(AB7=1,AB32+AB33,0)</f>
        <v>0.8</v>
      </c>
      <c r="AC34" s="21" t="n">
        <f aca="false">IF(AC7=1,AC32+AC33,0)</f>
        <v>0.8</v>
      </c>
      <c r="AD34" s="21" t="n">
        <f aca="false">IF(AD7=1,AD32+AD33,0)</f>
        <v>0.8</v>
      </c>
      <c r="AE34" s="21" t="n">
        <f aca="false">IF(AE7=1,AE32+AE33,0)</f>
        <v>0.8</v>
      </c>
      <c r="AF34" s="21" t="n">
        <f aca="false">IF(AF7=1,AF32+AF33,0)</f>
        <v>0.8</v>
      </c>
      <c r="AG34" s="21" t="n">
        <f aca="false">IF(AG7=1,AG32+AG33,0)</f>
        <v>0.8</v>
      </c>
      <c r="AH34" s="21" t="n">
        <f aca="false">IF(AH7=1,AH32+AH33,0)</f>
        <v>0.8</v>
      </c>
      <c r="AI34" s="21" t="n">
        <f aca="false">IF(AI7=1,AI32+AI33,0)</f>
        <v>0.8</v>
      </c>
      <c r="AJ34" s="21" t="n">
        <f aca="false">IF(AJ7=1,AJ32+AJ33,0)</f>
        <v>0.8</v>
      </c>
    </row>
    <row r="36" customFormat="false" ht="15" hidden="false" customHeight="true" outlineLevel="0" collapsed="false">
      <c r="B36" s="16" t="s">
        <v>318</v>
      </c>
    </row>
    <row r="37" customFormat="false" ht="15" hidden="false" customHeight="true" outlineLevel="0" collapsed="false">
      <c r="B37" s="1" t="s">
        <v>319</v>
      </c>
      <c r="C37" s="1" t="n">
        <f aca="false">IF(C7=1,IF(C6="Operating",Inputs_Master!$C$64*POWER(1+Inputs_Master!$C$19,C5-Inputs_Master!$C$8),0),0)</f>
        <v>0</v>
      </c>
      <c r="D37" s="1" t="n">
        <f aca="false">IF(D7=1,IF(D6="Operating",Inputs_Master!$C$64*POWER(1+Inputs_Master!$C$19,D5-Inputs_Master!$C$8),0),0)</f>
        <v>0</v>
      </c>
      <c r="E37" s="1" t="n">
        <f aca="false">IF(E7=1,IF(E6="Operating",Inputs_Master!$C$64*POWER(1+Inputs_Master!$C$19,E5-Inputs_Master!$C$8),0),0)</f>
        <v>0</v>
      </c>
      <c r="F37" s="1" t="e">
        <f aca="false">IF(F7=1,IF(F6="Operating",Inputs_Master!$C$64*POWER(1+Inputs_Master!$C$19,F5-Inputs_Master!$C$8),0),0)</f>
        <v>#N/A</v>
      </c>
      <c r="G37" s="1" t="e">
        <f aca="false">IF(G7=1,IF(G6="Operating",Inputs_Master!$C$64*POWER(1+Inputs_Master!$C$19,G5-Inputs_Master!$C$8),0),0)</f>
        <v>#N/A</v>
      </c>
      <c r="H37" s="1" t="e">
        <f aca="false">IF(H7=1,IF(H6="Operating",Inputs_Master!$C$64*POWER(1+Inputs_Master!$C$19,H5-Inputs_Master!$C$8),0),0)</f>
        <v>#N/A</v>
      </c>
      <c r="I37" s="1" t="e">
        <f aca="false">IF(I7=1,IF(I6="Operating",Inputs_Master!$C$64*POWER(1+Inputs_Master!$C$19,I5-Inputs_Master!$C$8),0),0)</f>
        <v>#N/A</v>
      </c>
      <c r="J37" s="1" t="e">
        <f aca="false">IF(J7=1,IF(J6="Operating",Inputs_Master!$C$64*POWER(1+Inputs_Master!$C$19,J5-Inputs_Master!$C$8),0),0)</f>
        <v>#N/A</v>
      </c>
      <c r="K37" s="1" t="e">
        <f aca="false">IF(K7=1,IF(K6="Operating",Inputs_Master!$C$64*POWER(1+Inputs_Master!$C$19,K5-Inputs_Master!$C$8),0),0)</f>
        <v>#N/A</v>
      </c>
      <c r="L37" s="1" t="e">
        <f aca="false">IF(L7=1,IF(L6="Operating",Inputs_Master!$C$64*POWER(1+Inputs_Master!$C$19,L5-Inputs_Master!$C$8),0),0)</f>
        <v>#N/A</v>
      </c>
      <c r="M37" s="1" t="e">
        <f aca="false">IF(M7=1,IF(M6="Operating",Inputs_Master!$C$64*POWER(1+Inputs_Master!$C$19,M5-Inputs_Master!$C$8),0),0)</f>
        <v>#N/A</v>
      </c>
      <c r="N37" s="1" t="e">
        <f aca="false">IF(N7=1,IF(N6="Operating",Inputs_Master!$C$64*POWER(1+Inputs_Master!$C$19,N5-Inputs_Master!$C$8),0),0)</f>
        <v>#N/A</v>
      </c>
      <c r="O37" s="1" t="e">
        <f aca="false">IF(O7=1,IF(O6="Operating",Inputs_Master!$C$64*POWER(1+Inputs_Master!$C$19,O5-Inputs_Master!$C$8),0),0)</f>
        <v>#N/A</v>
      </c>
      <c r="P37" s="1" t="e">
        <f aca="false">IF(P7=1,IF(P6="Operating",Inputs_Master!$C$64*POWER(1+Inputs_Master!$C$19,P5-Inputs_Master!$C$8),0),0)</f>
        <v>#N/A</v>
      </c>
      <c r="Q37" s="1" t="e">
        <f aca="false">IF(Q7=1,IF(Q6="Operating",Inputs_Master!$C$64*POWER(1+Inputs_Master!$C$19,Q5-Inputs_Master!$C$8),0),0)</f>
        <v>#N/A</v>
      </c>
      <c r="R37" s="1" t="e">
        <f aca="false">IF(R7=1,IF(R6="Operating",Inputs_Master!$C$64*POWER(1+Inputs_Master!$C$19,R5-Inputs_Master!$C$8),0),0)</f>
        <v>#N/A</v>
      </c>
      <c r="S37" s="1" t="e">
        <f aca="false">IF(S7=1,IF(S6="Operating",Inputs_Master!$C$64*POWER(1+Inputs_Master!$C$19,S5-Inputs_Master!$C$8),0),0)</f>
        <v>#N/A</v>
      </c>
      <c r="T37" s="1" t="e">
        <f aca="false">IF(T7=1,IF(T6="Operating",Inputs_Master!$C$64*POWER(1+Inputs_Master!$C$19,T5-Inputs_Master!$C$8),0),0)</f>
        <v>#N/A</v>
      </c>
      <c r="U37" s="1" t="e">
        <f aca="false">IF(U7=1,IF(U6="Operating",Inputs_Master!$C$64*POWER(1+Inputs_Master!$C$19,U5-Inputs_Master!$C$8),0),0)</f>
        <v>#N/A</v>
      </c>
      <c r="V37" s="1" t="e">
        <f aca="false">IF(V7=1,IF(V6="Operating",Inputs_Master!$C$64*POWER(1+Inputs_Master!$C$19,V5-Inputs_Master!$C$8),0),0)</f>
        <v>#N/A</v>
      </c>
      <c r="W37" s="1" t="e">
        <f aca="false">IF(W7=1,IF(W6="Operating",Inputs_Master!$C$64*POWER(1+Inputs_Master!$C$19,W5-Inputs_Master!$C$8),0),0)</f>
        <v>#N/A</v>
      </c>
      <c r="X37" s="1" t="e">
        <f aca="false">IF(X7=1,IF(X6="Operating",Inputs_Master!$C$64*POWER(1+Inputs_Master!$C$19,X5-Inputs_Master!$C$8),0),0)</f>
        <v>#N/A</v>
      </c>
      <c r="Y37" s="1" t="e">
        <f aca="false">IF(Y7=1,IF(Y6="Operating",Inputs_Master!$C$64*POWER(1+Inputs_Master!$C$19,Y5-Inputs_Master!$C$8),0),0)</f>
        <v>#N/A</v>
      </c>
      <c r="Z37" s="1" t="e">
        <f aca="false">IF(Z7=1,IF(Z6="Operating",Inputs_Master!$C$64*POWER(1+Inputs_Master!$C$19,Z5-Inputs_Master!$C$8),0),0)</f>
        <v>#N/A</v>
      </c>
      <c r="AA37" s="1" t="e">
        <f aca="false">IF(AA7=1,IF(AA6="Operating",Inputs_Master!$C$64*POWER(1+Inputs_Master!$C$19,AA5-Inputs_Master!$C$8),0),0)</f>
        <v>#N/A</v>
      </c>
      <c r="AB37" s="1" t="e">
        <f aca="false">IF(AB7=1,IF(AB6="Operating",Inputs_Master!$C$64*POWER(1+Inputs_Master!$C$19,AB5-Inputs_Master!$C$8),0),0)</f>
        <v>#N/A</v>
      </c>
      <c r="AC37" s="1" t="e">
        <f aca="false">IF(AC7=1,IF(AC6="Operating",Inputs_Master!$C$64*POWER(1+Inputs_Master!$C$19,AC5-Inputs_Master!$C$8),0),0)</f>
        <v>#N/A</v>
      </c>
      <c r="AD37" s="1" t="e">
        <f aca="false">IF(AD7=1,IF(AD6="Operating",Inputs_Master!$C$64*POWER(1+Inputs_Master!$C$19,AD5-Inputs_Master!$C$8),0),0)</f>
        <v>#N/A</v>
      </c>
      <c r="AE37" s="1" t="e">
        <f aca="false">IF(AE7=1,IF(AE6="Operating",Inputs_Master!$C$64*POWER(1+Inputs_Master!$C$19,AE5-Inputs_Master!$C$8),0),0)</f>
        <v>#N/A</v>
      </c>
      <c r="AF37" s="1" t="e">
        <f aca="false">IF(AF7=1,IF(AF6="Operating",Inputs_Master!$C$64*POWER(1+Inputs_Master!$C$19,AF5-Inputs_Master!$C$8),0),0)</f>
        <v>#N/A</v>
      </c>
      <c r="AG37" s="1" t="e">
        <f aca="false">IF(AG7=1,IF(AG6="Operating",Inputs_Master!$C$64*POWER(1+Inputs_Master!$C$19,AG5-Inputs_Master!$C$8),0),0)</f>
        <v>#N/A</v>
      </c>
      <c r="AH37" s="1" t="e">
        <f aca="false">IF(AH7=1,IF(AH6="Operating",Inputs_Master!$C$64*POWER(1+Inputs_Master!$C$19,AH5-Inputs_Master!$C$8),0),0)</f>
        <v>#N/A</v>
      </c>
      <c r="AI37" s="1" t="e">
        <f aca="false">IF(AI7=1,IF(AI6="Operating",Inputs_Master!$C$64*POWER(1+Inputs_Master!$C$19,AI5-Inputs_Master!$C$8),0),0)</f>
        <v>#N/A</v>
      </c>
      <c r="AJ37" s="1" t="e">
        <f aca="false">IF(AJ7=1,IF(AJ6="Operating",Inputs_Master!$C$64*POWER(1+Inputs_Master!$C$19,AJ5-Inputs_Master!$C$8),0),0)</f>
        <v>#N/A</v>
      </c>
    </row>
    <row r="38" customFormat="false" ht="15" hidden="false" customHeight="true" outlineLevel="0" collapsed="false">
      <c r="B38" s="1" t="s">
        <v>320</v>
      </c>
      <c r="C38" s="1" t="n">
        <f aca="false">IF(C7=1,IF(C6="Operating",Inputs_Master!$C$65*POWER(1+Inputs_Master!$C$19,C5-Inputs_Master!$C$8),0),0)</f>
        <v>0</v>
      </c>
      <c r="D38" s="1" t="n">
        <f aca="false">IF(D7=1,IF(D6="Operating",Inputs_Master!$C$65*POWER(1+Inputs_Master!$C$19,D5-Inputs_Master!$C$8),0),0)</f>
        <v>0</v>
      </c>
      <c r="E38" s="1" t="n">
        <f aca="false">IF(E7=1,IF(E6="Operating",Inputs_Master!$C$65*POWER(1+Inputs_Master!$C$19,E5-Inputs_Master!$C$8),0),0)</f>
        <v>0</v>
      </c>
      <c r="F38" s="1" t="e">
        <f aca="false">IF(F7=1,IF(F6="Operating",Inputs_Master!$C$65*POWER(1+Inputs_Master!$C$19,F5-Inputs_Master!$C$8),0),0)</f>
        <v>#N/A</v>
      </c>
      <c r="G38" s="1" t="e">
        <f aca="false">IF(G7=1,IF(G6="Operating",Inputs_Master!$C$65*POWER(1+Inputs_Master!$C$19,G5-Inputs_Master!$C$8),0),0)</f>
        <v>#N/A</v>
      </c>
      <c r="H38" s="1" t="e">
        <f aca="false">IF(H7=1,IF(H6="Operating",Inputs_Master!$C$65*POWER(1+Inputs_Master!$C$19,H5-Inputs_Master!$C$8),0),0)</f>
        <v>#N/A</v>
      </c>
      <c r="I38" s="1" t="e">
        <f aca="false">IF(I7=1,IF(I6="Operating",Inputs_Master!$C$65*POWER(1+Inputs_Master!$C$19,I5-Inputs_Master!$C$8),0),0)</f>
        <v>#N/A</v>
      </c>
      <c r="J38" s="1" t="e">
        <f aca="false">IF(J7=1,IF(J6="Operating",Inputs_Master!$C$65*POWER(1+Inputs_Master!$C$19,J5-Inputs_Master!$C$8),0),0)</f>
        <v>#N/A</v>
      </c>
      <c r="K38" s="1" t="e">
        <f aca="false">IF(K7=1,IF(K6="Operating",Inputs_Master!$C$65*POWER(1+Inputs_Master!$C$19,K5-Inputs_Master!$C$8),0),0)</f>
        <v>#N/A</v>
      </c>
      <c r="L38" s="1" t="e">
        <f aca="false">IF(L7=1,IF(L6="Operating",Inputs_Master!$C$65*POWER(1+Inputs_Master!$C$19,L5-Inputs_Master!$C$8),0),0)</f>
        <v>#N/A</v>
      </c>
      <c r="M38" s="1" t="e">
        <f aca="false">IF(M7=1,IF(M6="Operating",Inputs_Master!$C$65*POWER(1+Inputs_Master!$C$19,M5-Inputs_Master!$C$8),0),0)</f>
        <v>#N/A</v>
      </c>
      <c r="N38" s="1" t="e">
        <f aca="false">IF(N7=1,IF(N6="Operating",Inputs_Master!$C$65*POWER(1+Inputs_Master!$C$19,N5-Inputs_Master!$C$8),0),0)</f>
        <v>#N/A</v>
      </c>
      <c r="O38" s="1" t="e">
        <f aca="false">IF(O7=1,IF(O6="Operating",Inputs_Master!$C$65*POWER(1+Inputs_Master!$C$19,O5-Inputs_Master!$C$8),0),0)</f>
        <v>#N/A</v>
      </c>
      <c r="P38" s="1" t="e">
        <f aca="false">IF(P7=1,IF(P6="Operating",Inputs_Master!$C$65*POWER(1+Inputs_Master!$C$19,P5-Inputs_Master!$C$8),0),0)</f>
        <v>#N/A</v>
      </c>
      <c r="Q38" s="1" t="e">
        <f aca="false">IF(Q7=1,IF(Q6="Operating",Inputs_Master!$C$65*POWER(1+Inputs_Master!$C$19,Q5-Inputs_Master!$C$8),0),0)</f>
        <v>#N/A</v>
      </c>
      <c r="R38" s="1" t="e">
        <f aca="false">IF(R7=1,IF(R6="Operating",Inputs_Master!$C$65*POWER(1+Inputs_Master!$C$19,R5-Inputs_Master!$C$8),0),0)</f>
        <v>#N/A</v>
      </c>
      <c r="S38" s="1" t="e">
        <f aca="false">IF(S7=1,IF(S6="Operating",Inputs_Master!$C$65*POWER(1+Inputs_Master!$C$19,S5-Inputs_Master!$C$8),0),0)</f>
        <v>#N/A</v>
      </c>
      <c r="T38" s="1" t="e">
        <f aca="false">IF(T7=1,IF(T6="Operating",Inputs_Master!$C$65*POWER(1+Inputs_Master!$C$19,T5-Inputs_Master!$C$8),0),0)</f>
        <v>#N/A</v>
      </c>
      <c r="U38" s="1" t="e">
        <f aca="false">IF(U7=1,IF(U6="Operating",Inputs_Master!$C$65*POWER(1+Inputs_Master!$C$19,U5-Inputs_Master!$C$8),0),0)</f>
        <v>#N/A</v>
      </c>
      <c r="V38" s="1" t="e">
        <f aca="false">IF(V7=1,IF(V6="Operating",Inputs_Master!$C$65*POWER(1+Inputs_Master!$C$19,V5-Inputs_Master!$C$8),0),0)</f>
        <v>#N/A</v>
      </c>
      <c r="W38" s="1" t="e">
        <f aca="false">IF(W7=1,IF(W6="Operating",Inputs_Master!$C$65*POWER(1+Inputs_Master!$C$19,W5-Inputs_Master!$C$8),0),0)</f>
        <v>#N/A</v>
      </c>
      <c r="X38" s="1" t="e">
        <f aca="false">IF(X7=1,IF(X6="Operating",Inputs_Master!$C$65*POWER(1+Inputs_Master!$C$19,X5-Inputs_Master!$C$8),0),0)</f>
        <v>#N/A</v>
      </c>
      <c r="Y38" s="1" t="e">
        <f aca="false">IF(Y7=1,IF(Y6="Operating",Inputs_Master!$C$65*POWER(1+Inputs_Master!$C$19,Y5-Inputs_Master!$C$8),0),0)</f>
        <v>#N/A</v>
      </c>
      <c r="Z38" s="1" t="e">
        <f aca="false">IF(Z7=1,IF(Z6="Operating",Inputs_Master!$C$65*POWER(1+Inputs_Master!$C$19,Z5-Inputs_Master!$C$8),0),0)</f>
        <v>#N/A</v>
      </c>
      <c r="AA38" s="1" t="e">
        <f aca="false">IF(AA7=1,IF(AA6="Operating",Inputs_Master!$C$65*POWER(1+Inputs_Master!$C$19,AA5-Inputs_Master!$C$8),0),0)</f>
        <v>#N/A</v>
      </c>
      <c r="AB38" s="1" t="e">
        <f aca="false">IF(AB7=1,IF(AB6="Operating",Inputs_Master!$C$65*POWER(1+Inputs_Master!$C$19,AB5-Inputs_Master!$C$8),0),0)</f>
        <v>#N/A</v>
      </c>
      <c r="AC38" s="1" t="e">
        <f aca="false">IF(AC7=1,IF(AC6="Operating",Inputs_Master!$C$65*POWER(1+Inputs_Master!$C$19,AC5-Inputs_Master!$C$8),0),0)</f>
        <v>#N/A</v>
      </c>
      <c r="AD38" s="1" t="e">
        <f aca="false">IF(AD7=1,IF(AD6="Operating",Inputs_Master!$C$65*POWER(1+Inputs_Master!$C$19,AD5-Inputs_Master!$C$8),0),0)</f>
        <v>#N/A</v>
      </c>
      <c r="AE38" s="1" t="e">
        <f aca="false">IF(AE7=1,IF(AE6="Operating",Inputs_Master!$C$65*POWER(1+Inputs_Master!$C$19,AE5-Inputs_Master!$C$8),0),0)</f>
        <v>#N/A</v>
      </c>
      <c r="AF38" s="1" t="e">
        <f aca="false">IF(AF7=1,IF(AF6="Operating",Inputs_Master!$C$65*POWER(1+Inputs_Master!$C$19,AF5-Inputs_Master!$C$8),0),0)</f>
        <v>#N/A</v>
      </c>
      <c r="AG38" s="1" t="e">
        <f aca="false">IF(AG7=1,IF(AG6="Operating",Inputs_Master!$C$65*POWER(1+Inputs_Master!$C$19,AG5-Inputs_Master!$C$8),0),0)</f>
        <v>#N/A</v>
      </c>
      <c r="AH38" s="1" t="e">
        <f aca="false">IF(AH7=1,IF(AH6="Operating",Inputs_Master!$C$65*POWER(1+Inputs_Master!$C$19,AH5-Inputs_Master!$C$8),0),0)</f>
        <v>#N/A</v>
      </c>
      <c r="AI38" s="1" t="e">
        <f aca="false">IF(AI7=1,IF(AI6="Operating",Inputs_Master!$C$65*POWER(1+Inputs_Master!$C$19,AI5-Inputs_Master!$C$8),0),0)</f>
        <v>#N/A</v>
      </c>
      <c r="AJ38" s="1" t="e">
        <f aca="false">IF(AJ7=1,IF(AJ6="Operating",Inputs_Master!$C$65*POWER(1+Inputs_Master!$C$19,AJ5-Inputs_Master!$C$8),0),0)</f>
        <v>#N/A</v>
      </c>
    </row>
    <row r="39" customFormat="false" ht="15" hidden="false" customHeight="true" outlineLevel="0" collapsed="false">
      <c r="B39" s="1" t="s">
        <v>321</v>
      </c>
      <c r="C39" s="1" t="n">
        <f aca="false">IF(C7=1,IF(C5=0,Inputs_Master!$C$66,0),0)</f>
        <v>0.02</v>
      </c>
      <c r="D39" s="1" t="n">
        <f aca="false">IF(D7=1,IF(D5=0,Inputs_Master!$C$66,0),0)</f>
        <v>0</v>
      </c>
      <c r="E39" s="1" t="n">
        <f aca="false">IF(E7=1,IF(E5=0,Inputs_Master!$C$66,0),0)</f>
        <v>0</v>
      </c>
      <c r="F39" s="1" t="n">
        <f aca="false">IF(F7=1,IF(F5=0,Inputs_Master!$C$66,0),0)</f>
        <v>0</v>
      </c>
      <c r="G39" s="1" t="n">
        <f aca="false">IF(G7=1,IF(G5=0,Inputs_Master!$C$66,0),0)</f>
        <v>0</v>
      </c>
      <c r="H39" s="1" t="n">
        <f aca="false">IF(H7=1,IF(H5=0,Inputs_Master!$C$66,0),0)</f>
        <v>0</v>
      </c>
      <c r="I39" s="1" t="n">
        <f aca="false">IF(I7=1,IF(I5=0,Inputs_Master!$C$66,0),0)</f>
        <v>0</v>
      </c>
      <c r="J39" s="1" t="n">
        <f aca="false">IF(J7=1,IF(J5=0,Inputs_Master!$C$66,0),0)</f>
        <v>0</v>
      </c>
      <c r="K39" s="1" t="n">
        <f aca="false">IF(K7=1,IF(K5=0,Inputs_Master!$C$66,0),0)</f>
        <v>0</v>
      </c>
      <c r="L39" s="1" t="n">
        <f aca="false">IF(L7=1,IF(L5=0,Inputs_Master!$C$66,0),0)</f>
        <v>0</v>
      </c>
      <c r="M39" s="1" t="n">
        <f aca="false">IF(M7=1,IF(M5=0,Inputs_Master!$C$66,0),0)</f>
        <v>0</v>
      </c>
      <c r="N39" s="1" t="n">
        <f aca="false">IF(N7=1,IF(N5=0,Inputs_Master!$C$66,0),0)</f>
        <v>0</v>
      </c>
      <c r="O39" s="1" t="n">
        <f aca="false">IF(O7=1,IF(O5=0,Inputs_Master!$C$66,0),0)</f>
        <v>0</v>
      </c>
      <c r="P39" s="1" t="n">
        <f aca="false">IF(P7=1,IF(P5=0,Inputs_Master!$C$66,0),0)</f>
        <v>0</v>
      </c>
      <c r="Q39" s="1" t="n">
        <f aca="false">IF(Q7=1,IF(Q5=0,Inputs_Master!$C$66,0),0)</f>
        <v>0</v>
      </c>
      <c r="R39" s="1" t="n">
        <f aca="false">IF(R7=1,IF(R5=0,Inputs_Master!$C$66,0),0)</f>
        <v>0</v>
      </c>
      <c r="S39" s="1" t="n">
        <f aca="false">IF(S7=1,IF(S5=0,Inputs_Master!$C$66,0),0)</f>
        <v>0</v>
      </c>
      <c r="T39" s="1" t="n">
        <f aca="false">IF(T7=1,IF(T5=0,Inputs_Master!$C$66,0),0)</f>
        <v>0</v>
      </c>
      <c r="U39" s="1" t="n">
        <f aca="false">IF(U7=1,IF(U5=0,Inputs_Master!$C$66,0),0)</f>
        <v>0</v>
      </c>
      <c r="V39" s="1" t="n">
        <f aca="false">IF(V7=1,IF(V5=0,Inputs_Master!$C$66,0),0)</f>
        <v>0</v>
      </c>
      <c r="W39" s="1" t="n">
        <f aca="false">IF(W7=1,IF(W5=0,Inputs_Master!$C$66,0),0)</f>
        <v>0</v>
      </c>
      <c r="X39" s="1" t="n">
        <f aca="false">IF(X7=1,IF(X5=0,Inputs_Master!$C$66,0),0)</f>
        <v>0</v>
      </c>
      <c r="Y39" s="1" t="n">
        <f aca="false">IF(Y7=1,IF(Y5=0,Inputs_Master!$C$66,0),0)</f>
        <v>0</v>
      </c>
      <c r="Z39" s="1" t="n">
        <f aca="false">IF(Z7=1,IF(Z5=0,Inputs_Master!$C$66,0),0)</f>
        <v>0</v>
      </c>
      <c r="AA39" s="1" t="n">
        <f aca="false">IF(AA7=1,IF(AA5=0,Inputs_Master!$C$66,0),0)</f>
        <v>0</v>
      </c>
      <c r="AB39" s="1" t="n">
        <f aca="false">IF(AB7=1,IF(AB5=0,Inputs_Master!$C$66,0),0)</f>
        <v>0</v>
      </c>
      <c r="AC39" s="1" t="n">
        <f aca="false">IF(AC7=1,IF(AC5=0,Inputs_Master!$C$66,0),0)</f>
        <v>0</v>
      </c>
      <c r="AD39" s="1" t="n">
        <f aca="false">IF(AD7=1,IF(AD5=0,Inputs_Master!$C$66,0),0)</f>
        <v>0</v>
      </c>
      <c r="AE39" s="1" t="n">
        <f aca="false">IF(AE7=1,IF(AE5=0,Inputs_Master!$C$66,0),0)</f>
        <v>0</v>
      </c>
      <c r="AF39" s="1" t="n">
        <f aca="false">IF(AF7=1,IF(AF5=0,Inputs_Master!$C$66,0),0)</f>
        <v>0</v>
      </c>
      <c r="AG39" s="1" t="n">
        <f aca="false">IF(AG7=1,IF(AG5=0,Inputs_Master!$C$66,0),0)</f>
        <v>0</v>
      </c>
      <c r="AH39" s="1" t="n">
        <f aca="false">IF(AH7=1,IF(AH5=0,Inputs_Master!$C$66,0),0)</f>
        <v>0</v>
      </c>
      <c r="AI39" s="1" t="n">
        <f aca="false">IF(AI7=1,IF(AI5=0,Inputs_Master!$C$66,0),0)</f>
        <v>0</v>
      </c>
      <c r="AJ39" s="1" t="n">
        <f aca="false">IF(AJ7=1,IF(AJ5=0,Inputs_Master!$C$66,0),0)</f>
        <v>0</v>
      </c>
    </row>
    <row r="41" customFormat="false" ht="15" hidden="false" customHeight="true" outlineLevel="0" collapsed="false">
      <c r="B41" s="16" t="s">
        <v>322</v>
      </c>
    </row>
    <row r="42" customFormat="false" ht="15" hidden="false" customHeight="true" outlineLevel="0" collapsed="false">
      <c r="B42" s="1" t="s">
        <v>323</v>
      </c>
      <c r="C42" s="1" t="n">
        <f aca="false">IF(C7=1,Risk_Register!$N$18/Inputs_Master!$C$10,0)</f>
        <v>1.19017676767677</v>
      </c>
      <c r="D42" s="1" t="n">
        <f aca="false">IF(D7=1,Risk_Register!$N$18/Inputs_Master!$C$10,0)</f>
        <v>1.19017676767677</v>
      </c>
      <c r="E42" s="1" t="n">
        <f aca="false">IF(E7=1,Risk_Register!$N$18/Inputs_Master!$C$10,0)</f>
        <v>1.19017676767677</v>
      </c>
      <c r="F42" s="1" t="n">
        <f aca="false">IF(F7=1,Risk_Register!$N$18/Inputs_Master!$C$10,0)</f>
        <v>1.19017676767677</v>
      </c>
      <c r="G42" s="1" t="n">
        <f aca="false">IF(G7=1,Risk_Register!$N$18/Inputs_Master!$C$10,0)</f>
        <v>1.19017676767677</v>
      </c>
      <c r="H42" s="1" t="n">
        <f aca="false">IF(H7=1,Risk_Register!$N$18/Inputs_Master!$C$10,0)</f>
        <v>1.19017676767677</v>
      </c>
      <c r="I42" s="1" t="n">
        <f aca="false">IF(I7=1,Risk_Register!$N$18/Inputs_Master!$C$10,0)</f>
        <v>1.19017676767677</v>
      </c>
      <c r="J42" s="1" t="n">
        <f aca="false">IF(J7=1,Risk_Register!$N$18/Inputs_Master!$C$10,0)</f>
        <v>1.19017676767677</v>
      </c>
      <c r="K42" s="1" t="n">
        <f aca="false">IF(K7=1,Risk_Register!$N$18/Inputs_Master!$C$10,0)</f>
        <v>1.19017676767677</v>
      </c>
      <c r="L42" s="1" t="n">
        <f aca="false">IF(L7=1,Risk_Register!$N$18/Inputs_Master!$C$10,0)</f>
        <v>1.19017676767677</v>
      </c>
      <c r="M42" s="1" t="n">
        <f aca="false">IF(M7=1,Risk_Register!$N$18/Inputs_Master!$C$10,0)</f>
        <v>1.19017676767677</v>
      </c>
      <c r="N42" s="1" t="n">
        <f aca="false">IF(N7=1,Risk_Register!$N$18/Inputs_Master!$C$10,0)</f>
        <v>1.19017676767677</v>
      </c>
      <c r="O42" s="1" t="n">
        <f aca="false">IF(O7=1,Risk_Register!$N$18/Inputs_Master!$C$10,0)</f>
        <v>1.19017676767677</v>
      </c>
      <c r="P42" s="1" t="n">
        <f aca="false">IF(P7=1,Risk_Register!$N$18/Inputs_Master!$C$10,0)</f>
        <v>1.19017676767677</v>
      </c>
      <c r="Q42" s="1" t="n">
        <f aca="false">IF(Q7=1,Risk_Register!$N$18/Inputs_Master!$C$10,0)</f>
        <v>1.19017676767677</v>
      </c>
      <c r="R42" s="1" t="n">
        <f aca="false">IF(R7=1,Risk_Register!$N$18/Inputs_Master!$C$10,0)</f>
        <v>1.19017676767677</v>
      </c>
      <c r="S42" s="1" t="n">
        <f aca="false">IF(S7=1,Risk_Register!$N$18/Inputs_Master!$C$10,0)</f>
        <v>1.19017676767677</v>
      </c>
      <c r="T42" s="1" t="n">
        <f aca="false">IF(T7=1,Risk_Register!$N$18/Inputs_Master!$C$10,0)</f>
        <v>1.19017676767677</v>
      </c>
      <c r="U42" s="1" t="n">
        <f aca="false">IF(U7=1,Risk_Register!$N$18/Inputs_Master!$C$10,0)</f>
        <v>1.19017676767677</v>
      </c>
      <c r="V42" s="1" t="n">
        <f aca="false">IF(V7=1,Risk_Register!$N$18/Inputs_Master!$C$10,0)</f>
        <v>1.19017676767677</v>
      </c>
      <c r="W42" s="1" t="n">
        <f aca="false">IF(W7=1,Risk_Register!$N$18/Inputs_Master!$C$10,0)</f>
        <v>1.19017676767677</v>
      </c>
      <c r="X42" s="1" t="n">
        <f aca="false">IF(X7=1,Risk_Register!$N$18/Inputs_Master!$C$10,0)</f>
        <v>1.19017676767677</v>
      </c>
      <c r="Y42" s="1" t="n">
        <f aca="false">IF(Y7=1,Risk_Register!$N$18/Inputs_Master!$C$10,0)</f>
        <v>1.19017676767677</v>
      </c>
      <c r="Z42" s="1" t="n">
        <f aca="false">IF(Z7=1,Risk_Register!$N$18/Inputs_Master!$C$10,0)</f>
        <v>1.19017676767677</v>
      </c>
      <c r="AA42" s="1" t="n">
        <f aca="false">IF(AA7=1,Risk_Register!$N$18/Inputs_Master!$C$10,0)</f>
        <v>1.19017676767677</v>
      </c>
      <c r="AB42" s="1" t="n">
        <f aca="false">IF(AB7=1,Risk_Register!$N$18/Inputs_Master!$C$10,0)</f>
        <v>1.19017676767677</v>
      </c>
      <c r="AC42" s="1" t="n">
        <f aca="false">IF(AC7=1,Risk_Register!$N$18/Inputs_Master!$C$10,0)</f>
        <v>1.19017676767677</v>
      </c>
      <c r="AD42" s="1" t="n">
        <f aca="false">IF(AD7=1,Risk_Register!$N$18/Inputs_Master!$C$10,0)</f>
        <v>1.19017676767677</v>
      </c>
      <c r="AE42" s="1" t="n">
        <f aca="false">IF(AE7=1,Risk_Register!$N$18/Inputs_Master!$C$10,0)</f>
        <v>1.19017676767677</v>
      </c>
      <c r="AF42" s="1" t="n">
        <f aca="false">IF(AF7=1,Risk_Register!$N$18/Inputs_Master!$C$10,0)</f>
        <v>1.19017676767677</v>
      </c>
      <c r="AG42" s="1" t="n">
        <f aca="false">IF(AG7=1,Risk_Register!$N$18/Inputs_Master!$C$10,0)</f>
        <v>1.19017676767677</v>
      </c>
      <c r="AH42" s="1" t="n">
        <f aca="false">IF(AH7=1,Risk_Register!$N$18/Inputs_Master!$C$10,0)</f>
        <v>1.19017676767677</v>
      </c>
      <c r="AI42" s="1" t="n">
        <f aca="false">IF(AI7=1,Risk_Register!$N$18/Inputs_Master!$C$10,0)</f>
        <v>1.19017676767677</v>
      </c>
      <c r="AJ42" s="1" t="n">
        <f aca="false">IF(AJ7=1,Risk_Register!$N$18/Inputs_Master!$C$10,0)</f>
        <v>1.19017676767677</v>
      </c>
    </row>
    <row r="44" customFormat="false" ht="15" hidden="false" customHeight="true" outlineLevel="0" collapsed="false">
      <c r="B44" s="16" t="s">
        <v>282</v>
      </c>
    </row>
    <row r="45" customFormat="false" ht="15" hidden="false" customHeight="true" outlineLevel="0" collapsed="false">
      <c r="B45" s="1" t="s">
        <v>324</v>
      </c>
      <c r="C45" s="1" t="n">
        <f aca="false">IF(C7=1,IF(C5=Inputs_Master!$C$10,-(Inputs_Master!$C$70+Inputs_Master!$C$28*(Inputs_Master!$C$69-Inputs_Master!$C$10)/Inputs_Master!$C$69)*(1-Inputs_Master!$C$71-Inputs_Master!$C$72),0),0)</f>
        <v>0</v>
      </c>
      <c r="D45" s="1" t="n">
        <f aca="false">IF(D7=1,IF(D5=Inputs_Master!$C$10,-(Inputs_Master!$C$70+Inputs_Master!$C$28*(Inputs_Master!$C$69-Inputs_Master!$C$10)/Inputs_Master!$C$69)*(1-Inputs_Master!$C$71-Inputs_Master!$C$72),0),0)</f>
        <v>0</v>
      </c>
      <c r="E45" s="1" t="n">
        <f aca="false">IF(E7=1,IF(E5=Inputs_Master!$C$10,-(Inputs_Master!$C$70+Inputs_Master!$C$28*(Inputs_Master!$C$69-Inputs_Master!$C$10)/Inputs_Master!$C$69)*(1-Inputs_Master!$C$71-Inputs_Master!$C$72),0),0)</f>
        <v>0</v>
      </c>
      <c r="F45" s="1" t="n">
        <f aca="false">IF(F7=1,IF(F5=Inputs_Master!$C$10,-(Inputs_Master!$C$70+Inputs_Master!$C$28*(Inputs_Master!$C$69-Inputs_Master!$C$10)/Inputs_Master!$C$69)*(1-Inputs_Master!$C$71-Inputs_Master!$C$72),0),0)</f>
        <v>0</v>
      </c>
      <c r="G45" s="1" t="n">
        <f aca="false">IF(G7=1,IF(G5=Inputs_Master!$C$10,-(Inputs_Master!$C$70+Inputs_Master!$C$28*(Inputs_Master!$C$69-Inputs_Master!$C$10)/Inputs_Master!$C$69)*(1-Inputs_Master!$C$71-Inputs_Master!$C$72),0),0)</f>
        <v>0</v>
      </c>
      <c r="H45" s="1" t="n">
        <f aca="false">IF(H7=1,IF(H5=Inputs_Master!$C$10,-(Inputs_Master!$C$70+Inputs_Master!$C$28*(Inputs_Master!$C$69-Inputs_Master!$C$10)/Inputs_Master!$C$69)*(1-Inputs_Master!$C$71-Inputs_Master!$C$72),0),0)</f>
        <v>0</v>
      </c>
      <c r="I45" s="1" t="n">
        <f aca="false">IF(I7=1,IF(I5=Inputs_Master!$C$10,-(Inputs_Master!$C$70+Inputs_Master!$C$28*(Inputs_Master!$C$69-Inputs_Master!$C$10)/Inputs_Master!$C$69)*(1-Inputs_Master!$C$71-Inputs_Master!$C$72),0),0)</f>
        <v>0</v>
      </c>
      <c r="J45" s="1" t="n">
        <f aca="false">IF(J7=1,IF(J5=Inputs_Master!$C$10,-(Inputs_Master!$C$70+Inputs_Master!$C$28*(Inputs_Master!$C$69-Inputs_Master!$C$10)/Inputs_Master!$C$69)*(1-Inputs_Master!$C$71-Inputs_Master!$C$72),0),0)</f>
        <v>0</v>
      </c>
      <c r="K45" s="1" t="n">
        <f aca="false">IF(K7=1,IF(K5=Inputs_Master!$C$10,-(Inputs_Master!$C$70+Inputs_Master!$C$28*(Inputs_Master!$C$69-Inputs_Master!$C$10)/Inputs_Master!$C$69)*(1-Inputs_Master!$C$71-Inputs_Master!$C$72),0),0)</f>
        <v>0</v>
      </c>
      <c r="L45" s="1" t="n">
        <f aca="false">IF(L7=1,IF(L5=Inputs_Master!$C$10,-(Inputs_Master!$C$70+Inputs_Master!$C$28*(Inputs_Master!$C$69-Inputs_Master!$C$10)/Inputs_Master!$C$69)*(1-Inputs_Master!$C$71-Inputs_Master!$C$72),0),0)</f>
        <v>0</v>
      </c>
      <c r="M45" s="1" t="n">
        <f aca="false">IF(M7=1,IF(M5=Inputs_Master!$C$10,-(Inputs_Master!$C$70+Inputs_Master!$C$28*(Inputs_Master!$C$69-Inputs_Master!$C$10)/Inputs_Master!$C$69)*(1-Inputs_Master!$C$71-Inputs_Master!$C$72),0),0)</f>
        <v>0</v>
      </c>
      <c r="N45" s="1" t="n">
        <f aca="false">IF(N7=1,IF(N5=Inputs_Master!$C$10,-(Inputs_Master!$C$70+Inputs_Master!$C$28*(Inputs_Master!$C$69-Inputs_Master!$C$10)/Inputs_Master!$C$69)*(1-Inputs_Master!$C$71-Inputs_Master!$C$72),0),0)</f>
        <v>0</v>
      </c>
      <c r="O45" s="1" t="n">
        <f aca="false">IF(O7=1,IF(O5=Inputs_Master!$C$10,-(Inputs_Master!$C$70+Inputs_Master!$C$28*(Inputs_Master!$C$69-Inputs_Master!$C$10)/Inputs_Master!$C$69)*(1-Inputs_Master!$C$71-Inputs_Master!$C$72),0),0)</f>
        <v>0</v>
      </c>
      <c r="P45" s="1" t="n">
        <f aca="false">IF(P7=1,IF(P5=Inputs_Master!$C$10,-(Inputs_Master!$C$70+Inputs_Master!$C$28*(Inputs_Master!$C$69-Inputs_Master!$C$10)/Inputs_Master!$C$69)*(1-Inputs_Master!$C$71-Inputs_Master!$C$72),0),0)</f>
        <v>0</v>
      </c>
      <c r="Q45" s="1" t="n">
        <f aca="false">IF(Q7=1,IF(Q5=Inputs_Master!$C$10,-(Inputs_Master!$C$70+Inputs_Master!$C$28*(Inputs_Master!$C$69-Inputs_Master!$C$10)/Inputs_Master!$C$69)*(1-Inputs_Master!$C$71-Inputs_Master!$C$72),0),0)</f>
        <v>0</v>
      </c>
      <c r="R45" s="1" t="n">
        <f aca="false">IF(R7=1,IF(R5=Inputs_Master!$C$10,-(Inputs_Master!$C$70+Inputs_Master!$C$28*(Inputs_Master!$C$69-Inputs_Master!$C$10)/Inputs_Master!$C$69)*(1-Inputs_Master!$C$71-Inputs_Master!$C$72),0),0)</f>
        <v>0</v>
      </c>
      <c r="S45" s="1" t="n">
        <f aca="false">IF(S7=1,IF(S5=Inputs_Master!$C$10,-(Inputs_Master!$C$70+Inputs_Master!$C$28*(Inputs_Master!$C$69-Inputs_Master!$C$10)/Inputs_Master!$C$69)*(1-Inputs_Master!$C$71-Inputs_Master!$C$72),0),0)</f>
        <v>0</v>
      </c>
      <c r="T45" s="1" t="n">
        <f aca="false">IF(T7=1,IF(T5=Inputs_Master!$C$10,-(Inputs_Master!$C$70+Inputs_Master!$C$28*(Inputs_Master!$C$69-Inputs_Master!$C$10)/Inputs_Master!$C$69)*(1-Inputs_Master!$C$71-Inputs_Master!$C$72),0),0)</f>
        <v>0</v>
      </c>
      <c r="U45" s="1" t="n">
        <f aca="false">IF(U7=1,IF(U5=Inputs_Master!$C$10,-(Inputs_Master!$C$70+Inputs_Master!$C$28*(Inputs_Master!$C$69-Inputs_Master!$C$10)/Inputs_Master!$C$69)*(1-Inputs_Master!$C$71-Inputs_Master!$C$72),0),0)</f>
        <v>0</v>
      </c>
      <c r="V45" s="1" t="n">
        <f aca="false">IF(V7=1,IF(V5=Inputs_Master!$C$10,-(Inputs_Master!$C$70+Inputs_Master!$C$28*(Inputs_Master!$C$69-Inputs_Master!$C$10)/Inputs_Master!$C$69)*(1-Inputs_Master!$C$71-Inputs_Master!$C$72),0),0)</f>
        <v>0</v>
      </c>
      <c r="W45" s="1" t="n">
        <f aca="false">IF(W7=1,IF(W5=Inputs_Master!$C$10,-(Inputs_Master!$C$70+Inputs_Master!$C$28*(Inputs_Master!$C$69-Inputs_Master!$C$10)/Inputs_Master!$C$69)*(1-Inputs_Master!$C$71-Inputs_Master!$C$72),0),0)</f>
        <v>0</v>
      </c>
      <c r="X45" s="1" t="n">
        <f aca="false">IF(X7=1,IF(X5=Inputs_Master!$C$10,-(Inputs_Master!$C$70+Inputs_Master!$C$28*(Inputs_Master!$C$69-Inputs_Master!$C$10)/Inputs_Master!$C$69)*(1-Inputs_Master!$C$71-Inputs_Master!$C$72),0),0)</f>
        <v>0</v>
      </c>
      <c r="Y45" s="1" t="n">
        <f aca="false">IF(Y7=1,IF(Y5=Inputs_Master!$C$10,-(Inputs_Master!$C$70+Inputs_Master!$C$28*(Inputs_Master!$C$69-Inputs_Master!$C$10)/Inputs_Master!$C$69)*(1-Inputs_Master!$C$71-Inputs_Master!$C$72),0),0)</f>
        <v>0</v>
      </c>
      <c r="Z45" s="1" t="n">
        <f aca="false">IF(Z7=1,IF(Z5=Inputs_Master!$C$10,-(Inputs_Master!$C$70+Inputs_Master!$C$28*(Inputs_Master!$C$69-Inputs_Master!$C$10)/Inputs_Master!$C$69)*(1-Inputs_Master!$C$71-Inputs_Master!$C$72),0),0)</f>
        <v>0</v>
      </c>
      <c r="AA45" s="1" t="n">
        <f aca="false">IF(AA7=1,IF(AA5=Inputs_Master!$C$10,-(Inputs_Master!$C$70+Inputs_Master!$C$28*(Inputs_Master!$C$69-Inputs_Master!$C$10)/Inputs_Master!$C$69)*(1-Inputs_Master!$C$71-Inputs_Master!$C$72),0),0)</f>
        <v>0</v>
      </c>
      <c r="AB45" s="1" t="n">
        <f aca="false">IF(AB7=1,IF(AB5=Inputs_Master!$C$10,-(Inputs_Master!$C$70+Inputs_Master!$C$28*(Inputs_Master!$C$69-Inputs_Master!$C$10)/Inputs_Master!$C$69)*(1-Inputs_Master!$C$71-Inputs_Master!$C$72),0),0)</f>
        <v>0</v>
      </c>
      <c r="AC45" s="1" t="n">
        <f aca="false">IF(AC7=1,IF(AC5=Inputs_Master!$C$10,-(Inputs_Master!$C$70+Inputs_Master!$C$28*(Inputs_Master!$C$69-Inputs_Master!$C$10)/Inputs_Master!$C$69)*(1-Inputs_Master!$C$71-Inputs_Master!$C$72),0),0)</f>
        <v>0</v>
      </c>
      <c r="AD45" s="1" t="n">
        <f aca="false">IF(AD7=1,IF(AD5=Inputs_Master!$C$10,-(Inputs_Master!$C$70+Inputs_Master!$C$28*(Inputs_Master!$C$69-Inputs_Master!$C$10)/Inputs_Master!$C$69)*(1-Inputs_Master!$C$71-Inputs_Master!$C$72),0),0)</f>
        <v>0</v>
      </c>
      <c r="AE45" s="1" t="n">
        <f aca="false">IF(AE7=1,IF(AE5=Inputs_Master!$C$10,-(Inputs_Master!$C$70+Inputs_Master!$C$28*(Inputs_Master!$C$69-Inputs_Master!$C$10)/Inputs_Master!$C$69)*(1-Inputs_Master!$C$71-Inputs_Master!$C$72),0),0)</f>
        <v>0</v>
      </c>
      <c r="AF45" s="1" t="n">
        <f aca="false">IF(AF7=1,IF(AF5=Inputs_Master!$C$10,-(Inputs_Master!$C$70+Inputs_Master!$C$28*(Inputs_Master!$C$69-Inputs_Master!$C$10)/Inputs_Master!$C$69)*(1-Inputs_Master!$C$71-Inputs_Master!$C$72),0),0)</f>
        <v>0</v>
      </c>
      <c r="AG45" s="1" t="n">
        <f aca="false">IF(AG7=1,IF(AG5=Inputs_Master!$C$10,-(Inputs_Master!$C$70+Inputs_Master!$C$28*(Inputs_Master!$C$69-Inputs_Master!$C$10)/Inputs_Master!$C$69)*(1-Inputs_Master!$C$71-Inputs_Master!$C$72),0),0)</f>
        <v>0</v>
      </c>
      <c r="AH45" s="1" t="n">
        <f aca="false">IF(AH7=1,IF(AH5=Inputs_Master!$C$10,-(Inputs_Master!$C$70+Inputs_Master!$C$28*(Inputs_Master!$C$69-Inputs_Master!$C$10)/Inputs_Master!$C$69)*(1-Inputs_Master!$C$71-Inputs_Master!$C$72),0),0)</f>
        <v>0</v>
      </c>
      <c r="AI45" s="1" t="n">
        <f aca="false">IF(AI7=1,IF(AI5=Inputs_Master!$C$10,-(Inputs_Master!$C$70+Inputs_Master!$C$28*(Inputs_Master!$C$69-Inputs_Master!$C$10)/Inputs_Master!$C$69)*(1-Inputs_Master!$C$71-Inputs_Master!$C$72),0),0)</f>
        <v>0</v>
      </c>
      <c r="AJ45" s="1" t="n">
        <f aca="false">IF(AJ7=1,IF(AJ5=Inputs_Master!$C$10,-(Inputs_Master!$C$70+Inputs_Master!$C$28*(Inputs_Master!$C$69-Inputs_Master!$C$10)/Inputs_Master!$C$69)*(1-Inputs_Master!$C$71-Inputs_Master!$C$72),0),0)</f>
        <v>972</v>
      </c>
    </row>
    <row r="47" customFormat="false" ht="15" hidden="false" customHeight="true" outlineLevel="0" collapsed="false">
      <c r="B47" s="16" t="s">
        <v>325</v>
      </c>
    </row>
    <row r="48" customFormat="false" ht="15" hidden="false" customHeight="true" outlineLevel="0" collapsed="false">
      <c r="B48" s="1" t="s">
        <v>285</v>
      </c>
      <c r="C48" s="1" t="n">
        <f aca="false">IF(C7=1,C34+C38+C39+C42+C45,0)</f>
        <v>1.21017676767677</v>
      </c>
      <c r="D48" s="1" t="n">
        <f aca="false">IF(D7=1,D34+D38+D39+D42+D45,0)</f>
        <v>1.19017676767677</v>
      </c>
      <c r="E48" s="1" t="n">
        <f aca="false">IF(E7=1,E34+E38+E39+E42+E45,0)</f>
        <v>1.19017676767677</v>
      </c>
      <c r="F48" s="1" t="e">
        <f aca="false">IF(F7=1,F34+F38+F39+F42+F45,0)</f>
        <v>#N/A</v>
      </c>
      <c r="G48" s="1" t="e">
        <f aca="false">IF(G7=1,G34+G38+G39+G42+G45,0)</f>
        <v>#N/A</v>
      </c>
      <c r="H48" s="1" t="e">
        <f aca="false">IF(H7=1,H34+H38+H39+H42+H45,0)</f>
        <v>#N/A</v>
      </c>
      <c r="I48" s="1" t="e">
        <f aca="false">IF(I7=1,I34+I38+I39+I42+I45,0)</f>
        <v>#N/A</v>
      </c>
      <c r="J48" s="1" t="e">
        <f aca="false">IF(J7=1,J34+J38+J39+J42+J45,0)</f>
        <v>#N/A</v>
      </c>
      <c r="K48" s="1" t="e">
        <f aca="false">IF(K7=1,K34+K38+K39+K42+K45,0)</f>
        <v>#N/A</v>
      </c>
      <c r="L48" s="1" t="e">
        <f aca="false">IF(L7=1,L34+L38+L39+L42+L45,0)</f>
        <v>#N/A</v>
      </c>
      <c r="M48" s="1" t="e">
        <f aca="false">IF(M7=1,M34+M38+M39+M42+M45,0)</f>
        <v>#N/A</v>
      </c>
      <c r="N48" s="1" t="e">
        <f aca="false">IF(N7=1,N34+N38+N39+N42+N45,0)</f>
        <v>#N/A</v>
      </c>
      <c r="O48" s="1" t="e">
        <f aca="false">IF(O7=1,O34+O38+O39+O42+O45,0)</f>
        <v>#N/A</v>
      </c>
      <c r="P48" s="1" t="e">
        <f aca="false">IF(P7=1,P34+P38+P39+P42+P45,0)</f>
        <v>#N/A</v>
      </c>
      <c r="Q48" s="1" t="e">
        <f aca="false">IF(Q7=1,Q34+Q38+Q39+Q42+Q45,0)</f>
        <v>#N/A</v>
      </c>
      <c r="R48" s="1" t="e">
        <f aca="false">IF(R7=1,R34+R38+R39+R42+R45,0)</f>
        <v>#N/A</v>
      </c>
      <c r="S48" s="1" t="e">
        <f aca="false">IF(S7=1,S34+S38+S39+S42+S45,0)</f>
        <v>#N/A</v>
      </c>
      <c r="T48" s="1" t="e">
        <f aca="false">IF(T7=1,T34+T38+T39+T42+T45,0)</f>
        <v>#N/A</v>
      </c>
      <c r="U48" s="1" t="e">
        <f aca="false">IF(U7=1,U34+U38+U39+U42+U45,0)</f>
        <v>#N/A</v>
      </c>
      <c r="V48" s="1" t="e">
        <f aca="false">IF(V7=1,V34+V38+V39+V42+V45,0)</f>
        <v>#N/A</v>
      </c>
      <c r="W48" s="1" t="e">
        <f aca="false">IF(W7=1,W34+W38+W39+W42+W45,0)</f>
        <v>#N/A</v>
      </c>
      <c r="X48" s="1" t="e">
        <f aca="false">IF(X7=1,X34+X38+X39+X42+X45,0)</f>
        <v>#N/A</v>
      </c>
      <c r="Y48" s="1" t="e">
        <f aca="false">IF(Y7=1,Y34+Y38+Y39+Y42+Y45,0)</f>
        <v>#N/A</v>
      </c>
      <c r="Z48" s="1" t="e">
        <f aca="false">IF(Z7=1,Z34+Z38+Z39+Z42+Z45,0)</f>
        <v>#N/A</v>
      </c>
      <c r="AA48" s="1" t="e">
        <f aca="false">IF(AA7=1,AA34+AA38+AA39+AA42+AA45,0)</f>
        <v>#N/A</v>
      </c>
      <c r="AB48" s="1" t="e">
        <f aca="false">IF(AB7=1,AB34+AB38+AB39+AB42+AB45,0)</f>
        <v>#N/A</v>
      </c>
      <c r="AC48" s="1" t="e">
        <f aca="false">IF(AC7=1,AC34+AC38+AC39+AC42+AC45,0)</f>
        <v>#N/A</v>
      </c>
      <c r="AD48" s="1" t="e">
        <f aca="false">IF(AD7=1,AD34+AD38+AD39+AD42+AD45,0)</f>
        <v>#N/A</v>
      </c>
      <c r="AE48" s="1" t="e">
        <f aca="false">IF(AE7=1,AE34+AE38+AE39+AE42+AE45,0)</f>
        <v>#N/A</v>
      </c>
      <c r="AF48" s="1" t="e">
        <f aca="false">IF(AF7=1,AF34+AF38+AF39+AF42+AF45,0)</f>
        <v>#N/A</v>
      </c>
      <c r="AG48" s="1" t="e">
        <f aca="false">IF(AG7=1,AG34+AG38+AG39+AG42+AG45,0)</f>
        <v>#N/A</v>
      </c>
      <c r="AH48" s="1" t="e">
        <f aca="false">IF(AH7=1,AH34+AH38+AH39+AH42+AH45,0)</f>
        <v>#N/A</v>
      </c>
      <c r="AI48" s="1" t="e">
        <f aca="false">IF(AI7=1,AI34+AI38+AI39+AI42+AI45,0)</f>
        <v>#N/A</v>
      </c>
      <c r="AJ48" s="1" t="e">
        <f aca="false">IF(AJ7=1,AJ34+AJ38+AJ39+AJ42+AJ45,0)</f>
        <v>#N/A</v>
      </c>
    </row>
    <row r="49" customFormat="false" ht="15" hidden="false" customHeight="true" outlineLevel="0" collapsed="false">
      <c r="B49" s="1" t="s">
        <v>286</v>
      </c>
      <c r="C49" s="1" t="e">
        <f aca="false">IF(C7=1,1/POWER(1+Inputs_Master!$C$16,C5),0)</f>
        <v>#N/A</v>
      </c>
      <c r="D49" s="1" t="e">
        <f aca="false">IF(D7=1,1/POWER(1+Inputs_Master!$C$16,D5),0)</f>
        <v>#N/A</v>
      </c>
      <c r="E49" s="1" t="e">
        <f aca="false">IF(E7=1,1/POWER(1+Inputs_Master!$C$16,E5),0)</f>
        <v>#N/A</v>
      </c>
      <c r="F49" s="1" t="e">
        <f aca="false">IF(F7=1,1/POWER(1+Inputs_Master!$C$16,F5),0)</f>
        <v>#N/A</v>
      </c>
      <c r="G49" s="1" t="e">
        <f aca="false">IF(G7=1,1/POWER(1+Inputs_Master!$C$16,G5),0)</f>
        <v>#N/A</v>
      </c>
      <c r="H49" s="1" t="e">
        <f aca="false">IF(H7=1,1/POWER(1+Inputs_Master!$C$16,H5),0)</f>
        <v>#N/A</v>
      </c>
      <c r="I49" s="1" t="e">
        <f aca="false">IF(I7=1,1/POWER(1+Inputs_Master!$C$16,I5),0)</f>
        <v>#N/A</v>
      </c>
      <c r="J49" s="1" t="e">
        <f aca="false">IF(J7=1,1/POWER(1+Inputs_Master!$C$16,J5),0)</f>
        <v>#N/A</v>
      </c>
      <c r="K49" s="1" t="e">
        <f aca="false">IF(K7=1,1/POWER(1+Inputs_Master!$C$16,K5),0)</f>
        <v>#N/A</v>
      </c>
      <c r="L49" s="1" t="e">
        <f aca="false">IF(L7=1,1/POWER(1+Inputs_Master!$C$16,L5),0)</f>
        <v>#N/A</v>
      </c>
      <c r="M49" s="1" t="e">
        <f aca="false">IF(M7=1,1/POWER(1+Inputs_Master!$C$16,M5),0)</f>
        <v>#N/A</v>
      </c>
      <c r="N49" s="1" t="e">
        <f aca="false">IF(N7=1,1/POWER(1+Inputs_Master!$C$16,N5),0)</f>
        <v>#N/A</v>
      </c>
      <c r="O49" s="1" t="e">
        <f aca="false">IF(O7=1,1/POWER(1+Inputs_Master!$C$16,O5),0)</f>
        <v>#N/A</v>
      </c>
      <c r="P49" s="1" t="e">
        <f aca="false">IF(P7=1,1/POWER(1+Inputs_Master!$C$16,P5),0)</f>
        <v>#N/A</v>
      </c>
      <c r="Q49" s="1" t="e">
        <f aca="false">IF(Q7=1,1/POWER(1+Inputs_Master!$C$16,Q5),0)</f>
        <v>#N/A</v>
      </c>
      <c r="R49" s="1" t="e">
        <f aca="false">IF(R7=1,1/POWER(1+Inputs_Master!$C$16,R5),0)</f>
        <v>#N/A</v>
      </c>
      <c r="S49" s="1" t="e">
        <f aca="false">IF(S7=1,1/POWER(1+Inputs_Master!$C$16,S5),0)</f>
        <v>#N/A</v>
      </c>
      <c r="T49" s="1" t="e">
        <f aca="false">IF(T7=1,1/POWER(1+Inputs_Master!$C$16,T5),0)</f>
        <v>#N/A</v>
      </c>
      <c r="U49" s="1" t="e">
        <f aca="false">IF(U7=1,1/POWER(1+Inputs_Master!$C$16,U5),0)</f>
        <v>#N/A</v>
      </c>
      <c r="V49" s="1" t="e">
        <f aca="false">IF(V7=1,1/POWER(1+Inputs_Master!$C$16,V5),0)</f>
        <v>#N/A</v>
      </c>
      <c r="W49" s="1" t="e">
        <f aca="false">IF(W7=1,1/POWER(1+Inputs_Master!$C$16,W5),0)</f>
        <v>#N/A</v>
      </c>
      <c r="X49" s="1" t="e">
        <f aca="false">IF(X7=1,1/POWER(1+Inputs_Master!$C$16,X5),0)</f>
        <v>#N/A</v>
      </c>
      <c r="Y49" s="1" t="e">
        <f aca="false">IF(Y7=1,1/POWER(1+Inputs_Master!$C$16,Y5),0)</f>
        <v>#N/A</v>
      </c>
      <c r="Z49" s="1" t="e">
        <f aca="false">IF(Z7=1,1/POWER(1+Inputs_Master!$C$16,Z5),0)</f>
        <v>#N/A</v>
      </c>
      <c r="AA49" s="1" t="e">
        <f aca="false">IF(AA7=1,1/POWER(1+Inputs_Master!$C$16,AA5),0)</f>
        <v>#N/A</v>
      </c>
      <c r="AB49" s="1" t="e">
        <f aca="false">IF(AB7=1,1/POWER(1+Inputs_Master!$C$16,AB5),0)</f>
        <v>#N/A</v>
      </c>
      <c r="AC49" s="1" t="e">
        <f aca="false">IF(AC7=1,1/POWER(1+Inputs_Master!$C$16,AC5),0)</f>
        <v>#N/A</v>
      </c>
      <c r="AD49" s="1" t="e">
        <f aca="false">IF(AD7=1,1/POWER(1+Inputs_Master!$C$16,AD5),0)</f>
        <v>#N/A</v>
      </c>
      <c r="AE49" s="1" t="e">
        <f aca="false">IF(AE7=1,1/POWER(1+Inputs_Master!$C$16,AE5),0)</f>
        <v>#N/A</v>
      </c>
      <c r="AF49" s="1" t="e">
        <f aca="false">IF(AF7=1,1/POWER(1+Inputs_Master!$C$16,AF5),0)</f>
        <v>#N/A</v>
      </c>
      <c r="AG49" s="1" t="e">
        <f aca="false">IF(AG7=1,1/POWER(1+Inputs_Master!$C$16,AG5),0)</f>
        <v>#N/A</v>
      </c>
      <c r="AH49" s="1" t="e">
        <f aca="false">IF(AH7=1,1/POWER(1+Inputs_Master!$C$16,AH5),0)</f>
        <v>#N/A</v>
      </c>
      <c r="AI49" s="1" t="e">
        <f aca="false">IF(AI7=1,1/POWER(1+Inputs_Master!$C$16,AI5),0)</f>
        <v>#N/A</v>
      </c>
      <c r="AJ49" s="1" t="e">
        <f aca="false">IF(AJ7=1,1/POWER(1+Inputs_Master!$C$16,AJ5),0)</f>
        <v>#N/A</v>
      </c>
    </row>
    <row r="50" customFormat="false" ht="15" hidden="false" customHeight="true" outlineLevel="0" collapsed="false">
      <c r="B50" s="1" t="s">
        <v>287</v>
      </c>
      <c r="C50" s="12" t="e">
        <f aca="false">IF(C7=1,C48*C49,0)</f>
        <v>#N/A</v>
      </c>
      <c r="D50" s="12" t="e">
        <f aca="false">IF(D7=1,D48*D49,0)</f>
        <v>#N/A</v>
      </c>
      <c r="E50" s="12" t="e">
        <f aca="false">IF(E7=1,E48*E49,0)</f>
        <v>#N/A</v>
      </c>
      <c r="F50" s="12" t="e">
        <f aca="false">IF(F7=1,F48*F49,0)</f>
        <v>#N/A</v>
      </c>
      <c r="G50" s="12" t="e">
        <f aca="false">IF(G7=1,G48*G49,0)</f>
        <v>#N/A</v>
      </c>
      <c r="H50" s="12" t="e">
        <f aca="false">IF(H7=1,H48*H49,0)</f>
        <v>#N/A</v>
      </c>
      <c r="I50" s="12" t="e">
        <f aca="false">IF(I7=1,I48*I49,0)</f>
        <v>#N/A</v>
      </c>
      <c r="J50" s="12" t="e">
        <f aca="false">IF(J7=1,J48*J49,0)</f>
        <v>#N/A</v>
      </c>
      <c r="K50" s="12" t="e">
        <f aca="false">IF(K7=1,K48*K49,0)</f>
        <v>#N/A</v>
      </c>
      <c r="L50" s="12" t="e">
        <f aca="false">IF(L7=1,L48*L49,0)</f>
        <v>#N/A</v>
      </c>
      <c r="M50" s="12" t="e">
        <f aca="false">IF(M7=1,M48*M49,0)</f>
        <v>#N/A</v>
      </c>
      <c r="N50" s="12" t="e">
        <f aca="false">IF(N7=1,N48*N49,0)</f>
        <v>#N/A</v>
      </c>
      <c r="O50" s="12" t="e">
        <f aca="false">IF(O7=1,O48*O49,0)</f>
        <v>#N/A</v>
      </c>
      <c r="P50" s="12" t="e">
        <f aca="false">IF(P7=1,P48*P49,0)</f>
        <v>#N/A</v>
      </c>
      <c r="Q50" s="12" t="e">
        <f aca="false">IF(Q7=1,Q48*Q49,0)</f>
        <v>#N/A</v>
      </c>
      <c r="R50" s="12" t="e">
        <f aca="false">IF(R7=1,R48*R49,0)</f>
        <v>#N/A</v>
      </c>
      <c r="S50" s="12" t="e">
        <f aca="false">IF(S7=1,S48*S49,0)</f>
        <v>#N/A</v>
      </c>
      <c r="T50" s="12" t="e">
        <f aca="false">IF(T7=1,T48*T49,0)</f>
        <v>#N/A</v>
      </c>
      <c r="U50" s="12" t="e">
        <f aca="false">IF(U7=1,U48*U49,0)</f>
        <v>#N/A</v>
      </c>
      <c r="V50" s="12" t="e">
        <f aca="false">IF(V7=1,V48*V49,0)</f>
        <v>#N/A</v>
      </c>
      <c r="W50" s="12" t="e">
        <f aca="false">IF(W7=1,W48*W49,0)</f>
        <v>#N/A</v>
      </c>
      <c r="X50" s="12" t="e">
        <f aca="false">IF(X7=1,X48*X49,0)</f>
        <v>#N/A</v>
      </c>
      <c r="Y50" s="12" t="e">
        <f aca="false">IF(Y7=1,Y48*Y49,0)</f>
        <v>#N/A</v>
      </c>
      <c r="Z50" s="12" t="e">
        <f aca="false">IF(Z7=1,Z48*Z49,0)</f>
        <v>#N/A</v>
      </c>
      <c r="AA50" s="12" t="e">
        <f aca="false">IF(AA7=1,AA48*AA49,0)</f>
        <v>#N/A</v>
      </c>
      <c r="AB50" s="12" t="e">
        <f aca="false">IF(AB7=1,AB48*AB49,0)</f>
        <v>#N/A</v>
      </c>
      <c r="AC50" s="12" t="e">
        <f aca="false">IF(AC7=1,AC48*AC49,0)</f>
        <v>#N/A</v>
      </c>
      <c r="AD50" s="12" t="e">
        <f aca="false">IF(AD7=1,AD48*AD49,0)</f>
        <v>#N/A</v>
      </c>
      <c r="AE50" s="12" t="e">
        <f aca="false">IF(AE7=1,AE48*AE49,0)</f>
        <v>#N/A</v>
      </c>
      <c r="AF50" s="12" t="e">
        <f aca="false">IF(AF7=1,AF48*AF49,0)</f>
        <v>#N/A</v>
      </c>
      <c r="AG50" s="12" t="e">
        <f aca="false">IF(AG7=1,AG48*AG49,0)</f>
        <v>#N/A</v>
      </c>
      <c r="AH50" s="12" t="e">
        <f aca="false">IF(AH7=1,AH48*AH49,0)</f>
        <v>#N/A</v>
      </c>
      <c r="AI50" s="12" t="e">
        <f aca="false">IF(AI7=1,AI48*AI49,0)</f>
        <v>#N/A</v>
      </c>
      <c r="AJ50" s="12" t="e">
        <f aca="false">IF(AJ7=1,AJ48*AJ49,0)</f>
        <v>#N/A</v>
      </c>
    </row>
    <row r="52" customFormat="false" ht="15" hidden="false" customHeight="true" outlineLevel="0" collapsed="false">
      <c r="B52" s="9" t="s">
        <v>326</v>
      </c>
      <c r="C52" s="23" t="e">
        <f aca="false">SUM(C50:AJ50)</f>
        <v>#N/A</v>
      </c>
    </row>
    <row r="54" customFormat="false" ht="15" hidden="false" customHeight="true" outlineLevel="0" collapsed="false">
      <c r="B54" s="16" t="s">
        <v>327</v>
      </c>
    </row>
    <row r="55" customFormat="false" ht="15" hidden="false" customHeight="true" outlineLevel="0" collapsed="false">
      <c r="B55" s="1" t="s">
        <v>328</v>
      </c>
      <c r="C55" s="1" t="n">
        <f aca="false">IF(C7=1,IF(C6="Operating",C34-C29-C37,0),0)</f>
        <v>0</v>
      </c>
      <c r="D55" s="1" t="n">
        <f aca="false">IF(D7=1,IF(D6="Operating",D34-D29-D37,0),0)</f>
        <v>0</v>
      </c>
      <c r="E55" s="1" t="n">
        <f aca="false">IF(E7=1,IF(E6="Operating",E34-E29-E37,0),0)</f>
        <v>0</v>
      </c>
      <c r="F55" s="1" t="e">
        <f aca="false">IF(F7=1,IF(F6="Operating",F34-F29-F37,0),0)</f>
        <v>#N/A</v>
      </c>
      <c r="G55" s="1" t="e">
        <f aca="false">IF(G7=1,IF(G6="Operating",G34-G29-G37,0),0)</f>
        <v>#N/A</v>
      </c>
      <c r="H55" s="1" t="e">
        <f aca="false">IF(H7=1,IF(H6="Operating",H34-H29-H37,0),0)</f>
        <v>#N/A</v>
      </c>
      <c r="I55" s="1" t="e">
        <f aca="false">IF(I7=1,IF(I6="Operating",I34-I29-I37,0),0)</f>
        <v>#N/A</v>
      </c>
      <c r="J55" s="1" t="e">
        <f aca="false">IF(J7=1,IF(J6="Operating",J34-J29-J37,0),0)</f>
        <v>#N/A</v>
      </c>
      <c r="K55" s="1" t="e">
        <f aca="false">IF(K7=1,IF(K6="Operating",K34-K29-K37,0),0)</f>
        <v>#N/A</v>
      </c>
      <c r="L55" s="1" t="e">
        <f aca="false">IF(L7=1,IF(L6="Operating",L34-L29-L37,0),0)</f>
        <v>#N/A</v>
      </c>
      <c r="M55" s="1" t="e">
        <f aca="false">IF(M7=1,IF(M6="Operating",M34-M29-M37,0),0)</f>
        <v>#N/A</v>
      </c>
      <c r="N55" s="1" t="e">
        <f aca="false">IF(N7=1,IF(N6="Operating",N34-N29-N37,0),0)</f>
        <v>#N/A</v>
      </c>
      <c r="O55" s="1" t="e">
        <f aca="false">IF(O7=1,IF(O6="Operating",O34-O29-O37,0),0)</f>
        <v>#N/A</v>
      </c>
      <c r="P55" s="1" t="e">
        <f aca="false">IF(P7=1,IF(P6="Operating",P34-P29-P37,0),0)</f>
        <v>#N/A</v>
      </c>
      <c r="Q55" s="1" t="e">
        <f aca="false">IF(Q7=1,IF(Q6="Operating",Q34-Q29-Q37,0),0)</f>
        <v>#N/A</v>
      </c>
      <c r="R55" s="1" t="e">
        <f aca="false">IF(R7=1,IF(R6="Operating",R34-R29-R37,0),0)</f>
        <v>#N/A</v>
      </c>
      <c r="S55" s="1" t="e">
        <f aca="false">IF(S7=1,IF(S6="Operating",S34-S29-S37,0),0)</f>
        <v>#N/A</v>
      </c>
      <c r="T55" s="1" t="e">
        <f aca="false">IF(T7=1,IF(T6="Operating",T34-T29-T37,0),0)</f>
        <v>#N/A</v>
      </c>
      <c r="U55" s="1" t="e">
        <f aca="false">IF(U7=1,IF(U6="Operating",U34-U29-U37,0),0)</f>
        <v>#N/A</v>
      </c>
      <c r="V55" s="1" t="e">
        <f aca="false">IF(V7=1,IF(V6="Operating",V34-V29-V37,0),0)</f>
        <v>#N/A</v>
      </c>
      <c r="W55" s="1" t="e">
        <f aca="false">IF(W7=1,IF(W6="Operating",W34-W29-W37,0),0)</f>
        <v>#N/A</v>
      </c>
      <c r="X55" s="1" t="e">
        <f aca="false">IF(X7=1,IF(X6="Operating",X34-X29-X37,0),0)</f>
        <v>#N/A</v>
      </c>
      <c r="Y55" s="1" t="e">
        <f aca="false">IF(Y7=1,IF(Y6="Operating",Y34-Y29-Y37,0),0)</f>
        <v>#N/A</v>
      </c>
      <c r="Z55" s="1" t="e">
        <f aca="false">IF(Z7=1,IF(Z6="Operating",Z34-Z29-Z37,0),0)</f>
        <v>#N/A</v>
      </c>
      <c r="AA55" s="1" t="e">
        <f aca="false">IF(AA7=1,IF(AA6="Operating",AA34-AA29-AA37,0),0)</f>
        <v>#N/A</v>
      </c>
      <c r="AB55" s="1" t="e">
        <f aca="false">IF(AB7=1,IF(AB6="Operating",AB34-AB29-AB37,0),0)</f>
        <v>#N/A</v>
      </c>
      <c r="AC55" s="1" t="e">
        <f aca="false">IF(AC7=1,IF(AC6="Operating",AC34-AC29-AC37,0),0)</f>
        <v>#N/A</v>
      </c>
      <c r="AD55" s="1" t="e">
        <f aca="false">IF(AD7=1,IF(AD6="Operating",AD34-AD29-AD37,0),0)</f>
        <v>#N/A</v>
      </c>
      <c r="AE55" s="1" t="e">
        <f aca="false">IF(AE7=1,IF(AE6="Operating",AE34-AE29-AE37,0),0)</f>
        <v>#N/A</v>
      </c>
      <c r="AF55" s="1" t="e">
        <f aca="false">IF(AF7=1,IF(AF6="Operating",AF34-AF29-AF37,0),0)</f>
        <v>#N/A</v>
      </c>
      <c r="AG55" s="1" t="e">
        <f aca="false">IF(AG7=1,IF(AG6="Operating",AG34-AG29-AG37,0),0)</f>
        <v>#N/A</v>
      </c>
      <c r="AH55" s="1" t="e">
        <f aca="false">IF(AH7=1,IF(AH6="Operating",AH34-AH29-AH37,0),0)</f>
        <v>#N/A</v>
      </c>
      <c r="AI55" s="1" t="e">
        <f aca="false">IF(AI7=1,IF(AI6="Operating",AI34-AI29-AI37,0),0)</f>
        <v>#N/A</v>
      </c>
      <c r="AJ55" s="1" t="e">
        <f aca="false">IF(AJ7=1,IF(AJ6="Operating",AJ34-AJ29-AJ37,0),0)</f>
        <v>#N/A</v>
      </c>
    </row>
    <row r="56" customFormat="false" ht="15" hidden="false" customHeight="true" outlineLevel="0" collapsed="false">
      <c r="B56" s="1" t="s">
        <v>329</v>
      </c>
      <c r="C56" s="1" t="str">
        <f aca="false">IF(C7=1,IF(C19&gt;0,C55/C19,""),0)</f>
        <v/>
      </c>
      <c r="D56" s="1" t="str">
        <f aca="false">IF(D7=1,IF(D19&gt;0,D55/D19,""),0)</f>
        <v/>
      </c>
      <c r="E56" s="1" t="str">
        <f aca="false">IF(E7=1,IF(E19&gt;0,E55/E19,""),0)</f>
        <v/>
      </c>
      <c r="F56" s="1" t="e">
        <f aca="false">IF(F7=1,IF(F19&gt;0,F55/F19,""),0)</f>
        <v>#NUM!</v>
      </c>
      <c r="G56" s="1" t="e">
        <f aca="false">IF(G7=1,IF(G19&gt;0,G55/G19,""),0)</f>
        <v>#NUM!</v>
      </c>
      <c r="H56" s="1" t="e">
        <f aca="false">IF(H7=1,IF(H19&gt;0,H55/H19,""),0)</f>
        <v>#NUM!</v>
      </c>
      <c r="I56" s="1" t="e">
        <f aca="false">IF(I7=1,IF(I19&gt;0,I55/I19,""),0)</f>
        <v>#NUM!</v>
      </c>
      <c r="J56" s="1" t="e">
        <f aca="false">IF(J7=1,IF(J19&gt;0,J55/J19,""),0)</f>
        <v>#NUM!</v>
      </c>
      <c r="K56" s="1" t="e">
        <f aca="false">IF(K7=1,IF(K19&gt;0,K55/K19,""),0)</f>
        <v>#NUM!</v>
      </c>
      <c r="L56" s="1" t="e">
        <f aca="false">IF(L7=1,IF(L19&gt;0,L55/L19,""),0)</f>
        <v>#NUM!</v>
      </c>
      <c r="M56" s="1" t="e">
        <f aca="false">IF(M7=1,IF(M19&gt;0,M55/M19,""),0)</f>
        <v>#NUM!</v>
      </c>
      <c r="N56" s="1" t="e">
        <f aca="false">IF(N7=1,IF(N19&gt;0,N55/N19,""),0)</f>
        <v>#NUM!</v>
      </c>
      <c r="O56" s="1" t="e">
        <f aca="false">IF(O7=1,IF(O19&gt;0,O55/O19,""),0)</f>
        <v>#NUM!</v>
      </c>
      <c r="P56" s="1" t="e">
        <f aca="false">IF(P7=1,IF(P19&gt;0,P55/P19,""),0)</f>
        <v>#NUM!</v>
      </c>
      <c r="Q56" s="1" t="e">
        <f aca="false">IF(Q7=1,IF(Q19&gt;0,Q55/Q19,""),0)</f>
        <v>#NUM!</v>
      </c>
      <c r="R56" s="1" t="e">
        <f aca="false">IF(R7=1,IF(R19&gt;0,R55/R19,""),0)</f>
        <v>#NUM!</v>
      </c>
      <c r="S56" s="1" t="e">
        <f aca="false">IF(S7=1,IF(S19&gt;0,S55/S19,""),0)</f>
        <v>#NUM!</v>
      </c>
      <c r="T56" s="1" t="e">
        <f aca="false">IF(T7=1,IF(T19&gt;0,T55/T19,""),0)</f>
        <v>#NUM!</v>
      </c>
      <c r="U56" s="1" t="e">
        <f aca="false">IF(U7=1,IF(U19&gt;0,U55/U19,""),0)</f>
        <v>#NUM!</v>
      </c>
      <c r="V56" s="1" t="e">
        <f aca="false">IF(V7=1,IF(V19&gt;0,V55/V19,""),0)</f>
        <v>#NUM!</v>
      </c>
      <c r="W56" s="1" t="e">
        <f aca="false">IF(W7=1,IF(W19&gt;0,W55/W19,""),0)</f>
        <v>#NUM!</v>
      </c>
      <c r="X56" s="1" t="e">
        <f aca="false">IF(X7=1,IF(X19&gt;0,X55/X19,""),0)</f>
        <v>#NUM!</v>
      </c>
      <c r="Y56" s="1" t="e">
        <f aca="false">IF(Y7=1,IF(Y19&gt;0,Y55/Y19,""),0)</f>
        <v>#NUM!</v>
      </c>
      <c r="Z56" s="1" t="e">
        <f aca="false">IF(Z7=1,IF(Z19&gt;0,Z55/Z19,""),0)</f>
        <v>#NUM!</v>
      </c>
      <c r="AA56" s="1" t="e">
        <f aca="false">IF(AA7=1,IF(AA19&gt;0,AA55/AA19,""),0)</f>
        <v>#NUM!</v>
      </c>
      <c r="AB56" s="1" t="e">
        <f aca="false">IF(AB7=1,IF(AB19&gt;0,AB55/AB19,""),0)</f>
        <v>#NUM!</v>
      </c>
      <c r="AC56" s="1" t="e">
        <f aca="false">IF(AC7=1,IF(AC19&gt;0,AC55/AC19,""),0)</f>
        <v>#NUM!</v>
      </c>
      <c r="AD56" s="1" t="e">
        <f aca="false">IF(AD7=1,IF(AD19&gt;0,AD55/AD19,""),0)</f>
        <v>#NUM!</v>
      </c>
      <c r="AE56" s="1" t="e">
        <f aca="false">IF(AE7=1,IF(AE19&gt;0,AE55/AE19,""),0)</f>
        <v>#NUM!</v>
      </c>
      <c r="AF56" s="1" t="e">
        <f aca="false">IF(AF7=1,IF(AF19&gt;0,AF55/AF19,""),0)</f>
        <v>#NUM!</v>
      </c>
      <c r="AG56" s="1" t="e">
        <f aca="false">IF(AG7=1,IF(AG19&gt;0,AG55/AG19,""),0)</f>
        <v>#NUM!</v>
      </c>
      <c r="AH56" s="1" t="e">
        <f aca="false">IF(AH7=1,IF(AH19&gt;0,AH55/AH19,""),0)</f>
        <v>#NUM!</v>
      </c>
      <c r="AI56" s="1" t="e">
        <f aca="false">IF(AI7=1,IF(AI19&gt;0,AI55/AI19,""),0)</f>
        <v>#NUM!</v>
      </c>
      <c r="AJ56" s="1" t="e">
        <f aca="false">IF(AJ7=1,IF(AJ19&gt;0,AJ55/AJ19,""),0)</f>
        <v>#NUM!</v>
      </c>
    </row>
    <row r="58" customFormat="false" ht="15" hidden="false" customHeight="true" outlineLevel="0" collapsed="false">
      <c r="B58" s="20" t="s">
        <v>330</v>
      </c>
    </row>
    <row r="59" customFormat="false" ht="15" hidden="false" customHeight="true" outlineLevel="0" collapsed="false">
      <c r="B59" s="1" t="s">
        <v>331</v>
      </c>
      <c r="C59" s="1" t="n">
        <f aca="false">IF(C7=1,IF(C6="Construction",-C23,C55-C19),0)</f>
        <v>-625.25</v>
      </c>
      <c r="D59" s="1" t="n">
        <f aca="false">IF(D7=1,IF(D6="Construction",-D23,D55-D19),0)</f>
        <v>-0.265106</v>
      </c>
      <c r="E59" s="1" t="n">
        <f aca="false">IF(E7=1,IF(E6="Construction",-E23,E55-E19),0)</f>
        <v>-0</v>
      </c>
      <c r="F59" s="1" t="e">
        <f aca="false">IF(F7=1,IF(F6="Construction",-F23,F55-F19),0)</f>
        <v>#NUM!</v>
      </c>
      <c r="G59" s="1" t="e">
        <f aca="false">IF(G7=1,IF(G6="Construction",-G23,G55-G19),0)</f>
        <v>#NUM!</v>
      </c>
      <c r="H59" s="1" t="e">
        <f aca="false">IF(H7=1,IF(H6="Construction",-H23,H55-H19),0)</f>
        <v>#NUM!</v>
      </c>
      <c r="I59" s="1" t="e">
        <f aca="false">IF(I7=1,IF(I6="Construction",-I23,I55-I19),0)</f>
        <v>#NUM!</v>
      </c>
      <c r="J59" s="1" t="e">
        <f aca="false">IF(J7=1,IF(J6="Construction",-J23,J55-J19),0)</f>
        <v>#NUM!</v>
      </c>
      <c r="K59" s="1" t="e">
        <f aca="false">IF(K7=1,IF(K6="Construction",-K23,K55-K19),0)</f>
        <v>#NUM!</v>
      </c>
      <c r="L59" s="1" t="e">
        <f aca="false">IF(L7=1,IF(L6="Construction",-L23,L55-L19),0)</f>
        <v>#NUM!</v>
      </c>
      <c r="M59" s="1" t="e">
        <f aca="false">IF(M7=1,IF(M6="Construction",-M23,M55-M19),0)</f>
        <v>#NUM!</v>
      </c>
      <c r="N59" s="1" t="e">
        <f aca="false">IF(N7=1,IF(N6="Construction",-N23,N55-N19),0)</f>
        <v>#NUM!</v>
      </c>
      <c r="O59" s="1" t="e">
        <f aca="false">IF(O7=1,IF(O6="Construction",-O23,O55-O19),0)</f>
        <v>#NUM!</v>
      </c>
      <c r="P59" s="1" t="e">
        <f aca="false">IF(P7=1,IF(P6="Construction",-P23,P55-P19),0)</f>
        <v>#NUM!</v>
      </c>
      <c r="Q59" s="1" t="e">
        <f aca="false">IF(Q7=1,IF(Q6="Construction",-Q23,Q55-Q19),0)</f>
        <v>#NUM!</v>
      </c>
      <c r="R59" s="1" t="e">
        <f aca="false">IF(R7=1,IF(R6="Construction",-R23,R55-R19),0)</f>
        <v>#NUM!</v>
      </c>
      <c r="S59" s="1" t="e">
        <f aca="false">IF(S7=1,IF(S6="Construction",-S23,S55-S19),0)</f>
        <v>#NUM!</v>
      </c>
      <c r="T59" s="1" t="e">
        <f aca="false">IF(T7=1,IF(T6="Construction",-T23,T55-T19),0)</f>
        <v>#NUM!</v>
      </c>
      <c r="U59" s="1" t="e">
        <f aca="false">IF(U7=1,IF(U6="Construction",-U23,U55-U19),0)</f>
        <v>#NUM!</v>
      </c>
      <c r="V59" s="1" t="e">
        <f aca="false">IF(V7=1,IF(V6="Construction",-V23,V55-V19),0)</f>
        <v>#NUM!</v>
      </c>
      <c r="W59" s="1" t="e">
        <f aca="false">IF(W7=1,IF(W6="Construction",-W23,W55-W19),0)</f>
        <v>#NUM!</v>
      </c>
      <c r="X59" s="1" t="e">
        <f aca="false">IF(X7=1,IF(X6="Construction",-X23,X55-X19),0)</f>
        <v>#NUM!</v>
      </c>
      <c r="Y59" s="1" t="e">
        <f aca="false">IF(Y7=1,IF(Y6="Construction",-Y23,Y55-Y19),0)</f>
        <v>#NUM!</v>
      </c>
      <c r="Z59" s="1" t="e">
        <f aca="false">IF(Z7=1,IF(Z6="Construction",-Z23,Z55-Z19),0)</f>
        <v>#NUM!</v>
      </c>
      <c r="AA59" s="1" t="e">
        <f aca="false">IF(AA7=1,IF(AA6="Construction",-AA23,AA55-AA19),0)</f>
        <v>#NUM!</v>
      </c>
      <c r="AB59" s="1" t="e">
        <f aca="false">IF(AB7=1,IF(AB6="Construction",-AB23,AB55-AB19),0)</f>
        <v>#NUM!</v>
      </c>
      <c r="AC59" s="1" t="e">
        <f aca="false">IF(AC7=1,IF(AC6="Construction",-AC23,AC55-AC19),0)</f>
        <v>#NUM!</v>
      </c>
      <c r="AD59" s="1" t="e">
        <f aca="false">IF(AD7=1,IF(AD6="Construction",-AD23,AD55-AD19),0)</f>
        <v>#NUM!</v>
      </c>
      <c r="AE59" s="1" t="e">
        <f aca="false">IF(AE7=1,IF(AE6="Construction",-AE23,AE55-AE19),0)</f>
        <v>#NUM!</v>
      </c>
      <c r="AF59" s="1" t="e">
        <f aca="false">IF(AF7=1,IF(AF6="Construction",-AF23,AF55-AF19),0)</f>
        <v>#NUM!</v>
      </c>
      <c r="AG59" s="1" t="e">
        <f aca="false">IF(AG7=1,IF(AG6="Construction",-AG23,AG55-AG19),0)</f>
        <v>#NUM!</v>
      </c>
      <c r="AH59" s="1" t="e">
        <f aca="false">IF(AH7=1,IF(AH6="Construction",-AH23,AH55-AH19),0)</f>
        <v>#NUM!</v>
      </c>
      <c r="AI59" s="1" t="e">
        <f aca="false">IF(AI7=1,IF(AI6="Construction",-AI23,AI55-AI19),0)</f>
        <v>#NUM!</v>
      </c>
      <c r="AJ59" s="1" t="e">
        <f aca="false">IF(AJ7=1,IF(AJ6="Construction",-AJ23,AJ55-AJ19),0)</f>
        <v>#NUM!</v>
      </c>
    </row>
    <row r="61" customFormat="false" ht="15" hidden="false" customHeight="true" outlineLevel="0" collapsed="false">
      <c r="B61" s="1" t="s">
        <v>332</v>
      </c>
      <c r="C61" s="24" t="e">
        <f aca="false">IRR(C59:AJ59)*100</f>
        <v>#NUM!</v>
      </c>
    </row>
    <row r="63" customFormat="false" ht="15" hidden="false" customHeight="true" outlineLevel="0" collapsed="false">
      <c r="B63" s="1" t="s">
        <v>333</v>
      </c>
      <c r="C63" s="12" t="e">
        <f aca="false">MIN(F56:AJ56)</f>
        <v>#NUM!</v>
      </c>
    </row>
    <row r="64" customFormat="false" ht="15" hidden="false" customHeight="true" outlineLevel="0" collapsed="false">
      <c r="B64" s="1" t="s">
        <v>334</v>
      </c>
      <c r="C64" s="12" t="e">
        <f aca="false">AVERAGE(F56:AJ56)</f>
        <v>#NUM!</v>
      </c>
    </row>
    <row r="66" customFormat="false" ht="15" hidden="false" customHeight="true" outlineLevel="0" collapsed="false">
      <c r="B66" s="20" t="s">
        <v>335</v>
      </c>
    </row>
    <row r="67" customFormat="false" ht="15" hidden="false" customHeight="true" outlineLevel="0" collapsed="false">
      <c r="B67" s="1" t="s">
        <v>336</v>
      </c>
      <c r="C67" s="1" t="e">
        <f aca="false">IF(C63&gt;=1.2,"✓ PASS","✗ FAIL")</f>
        <v>#NUM!</v>
      </c>
    </row>
    <row r="68" customFormat="false" ht="15" hidden="false" customHeight="true" outlineLevel="0" collapsed="false">
      <c r="B68" s="1" t="s">
        <v>337</v>
      </c>
      <c r="C68" s="1" t="e">
        <f aca="false">IF(C64&gt;=1.5,"✓ PASS","✗ FAIL")</f>
        <v>#NUM!</v>
      </c>
    </row>
    <row r="69" customFormat="false" ht="15" hidden="false" customHeight="true" outlineLevel="0" collapsed="false">
      <c r="B69" s="1" t="s">
        <v>338</v>
      </c>
      <c r="C69" s="1" t="e">
        <f aca="false">IF(C61&gt;=Inputs_Master!C46*100,"✓ PASS","✗ FAIL")</f>
        <v>#NUM!</v>
      </c>
    </row>
    <row r="71" customFormat="false" ht="15" hidden="false" customHeight="true" outlineLevel="0" collapsed="false">
      <c r="B71" s="1" t="s">
        <v>339</v>
      </c>
      <c r="C71" s="25" t="e">
        <f aca="false">IF(AND(C68="✓ PASS",C69="✓ PASS",C70="✓ PASS"),"✓ BANKABLE","✗ NOT BANKABLE")</f>
        <v>#NUM!</v>
      </c>
    </row>
  </sheetData>
  <mergeCells count="1">
    <mergeCell ref="B2:A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4"/>
  </cols>
  <sheetData>
    <row r="2" customFormat="false" ht="17.25" hidden="false" customHeight="true" outlineLevel="0" collapsed="false">
      <c r="B2" s="8" t="s">
        <v>340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26" t="s">
        <v>341</v>
      </c>
    </row>
    <row r="5" customFormat="false" ht="15" hidden="false" customHeight="true" outlineLevel="0" collapsed="false">
      <c r="B5" s="1" t="s">
        <v>17</v>
      </c>
      <c r="C5" s="22" t="n">
        <f aca="false">Inputs_Master!C11</f>
        <v>2025</v>
      </c>
      <c r="D5" s="1" t="s">
        <v>342</v>
      </c>
    </row>
    <row r="8" customFormat="false" ht="15" hidden="false" customHeight="true" outlineLevel="0" collapsed="false">
      <c r="B8" s="16" t="s">
        <v>343</v>
      </c>
      <c r="C8" s="16" t="s">
        <v>344</v>
      </c>
      <c r="D8" s="16" t="s">
        <v>345</v>
      </c>
      <c r="E8" s="16" t="s">
        <v>346</v>
      </c>
      <c r="F8" s="16" t="s">
        <v>347</v>
      </c>
      <c r="G8" s="16" t="s">
        <v>348</v>
      </c>
      <c r="H8" s="16" t="s">
        <v>349</v>
      </c>
    </row>
    <row r="9" customFormat="false" ht="15" hidden="false" customHeight="true" outlineLevel="0" collapsed="false">
      <c r="B9" s="1" t="s">
        <v>350</v>
      </c>
      <c r="C9" s="21" t="e">
        <f aca="false">Calc_PSC!C56*Delivery_Params!C7/Delivery_Params!$F$7</f>
        <v>#N/A</v>
      </c>
      <c r="D9" s="21" t="e">
        <f aca="false">Calc_PSC!C56*Delivery_Params!D7/Delivery_Params!$F$7</f>
        <v>#N/A</v>
      </c>
      <c r="E9" s="21" t="e">
        <f aca="false">Calc_PSC!C56*Delivery_Params!E7/Delivery_Params!$F$7</f>
        <v>#N/A</v>
      </c>
      <c r="F9" s="21" t="e">
        <f aca="false">SUMPRODUCT(Calc_P3!C12:AJ12,Calc_P3!C63:AJ63)</f>
        <v>#NUM!</v>
      </c>
    </row>
    <row r="10" customFormat="false" ht="15" hidden="false" customHeight="true" outlineLevel="0" collapsed="false">
      <c r="B10" s="1" t="s">
        <v>351</v>
      </c>
      <c r="C10" s="1" t="e">
        <f aca="false">C9*Delivery_Params!C8</f>
        <v>#N/A</v>
      </c>
      <c r="D10" s="1" t="e">
        <f aca="false">D9*Delivery_Params!D8</f>
        <v>#N/A</v>
      </c>
      <c r="E10" s="1" t="e">
        <f aca="false">E9*Delivery_Params!E8</f>
        <v>#N/A</v>
      </c>
      <c r="F10" s="1" t="s">
        <v>352</v>
      </c>
    </row>
    <row r="11" customFormat="false" ht="15" hidden="false" customHeight="true" outlineLevel="0" collapsed="false">
      <c r="B11" s="1" t="s">
        <v>353</v>
      </c>
      <c r="C11" s="1" t="e">
        <f aca="false">C9*Delivery_Params!C9</f>
        <v>#N/A</v>
      </c>
      <c r="D11" s="1" t="e">
        <f aca="false">D9*Delivery_Params!D9</f>
        <v>#N/A</v>
      </c>
      <c r="E11" s="1" t="e">
        <f aca="false">E9*Delivery_Params!E9</f>
        <v>#N/A</v>
      </c>
      <c r="F11" s="1" t="s">
        <v>352</v>
      </c>
    </row>
    <row r="12" customFormat="false" ht="15" hidden="false" customHeight="true" outlineLevel="0" collapsed="false">
      <c r="B12" s="1" t="s">
        <v>354</v>
      </c>
      <c r="C12" s="1" t="e">
        <f aca="false">C9*Delivery_Params!C10</f>
        <v>#N/A</v>
      </c>
      <c r="D12" s="1" t="e">
        <f aca="false">D9*Delivery_Params!D10</f>
        <v>#N/A</v>
      </c>
      <c r="E12" s="1" t="e">
        <f aca="false">E9*Delivery_Params!E10</f>
        <v>#N/A</v>
      </c>
      <c r="F12" s="1" t="s">
        <v>352</v>
      </c>
    </row>
    <row r="13" customFormat="false" ht="15" hidden="false" customHeight="true" outlineLevel="0" collapsed="false">
      <c r="B13" s="20" t="s">
        <v>355</v>
      </c>
      <c r="C13" s="12" t="e">
        <f aca="false">SUM(C9:C12)</f>
        <v>#N/A</v>
      </c>
      <c r="D13" s="12" t="e">
        <f aca="false">SUM(D9:D12)</f>
        <v>#N/A</v>
      </c>
      <c r="E13" s="12" t="e">
        <f aca="false">SUM(E9:E12)</f>
        <v>#N/A</v>
      </c>
      <c r="F13" s="12" t="e">
        <f aca="false">F9</f>
        <v>#NUM!</v>
      </c>
    </row>
    <row r="15" customFormat="false" ht="15" hidden="false" customHeight="true" outlineLevel="0" collapsed="false">
      <c r="B15" s="1" t="s">
        <v>356</v>
      </c>
      <c r="C15" s="21" t="n">
        <f aca="false">Calc_PSC!C57</f>
        <v>0</v>
      </c>
      <c r="D15" s="21" t="n">
        <f aca="false">Calc_PSC!C57</f>
        <v>0</v>
      </c>
      <c r="E15" s="21" t="n">
        <f aca="false">Calc_PSC!C57*1.02</f>
        <v>0</v>
      </c>
      <c r="F15" s="21" t="e">
        <f aca="false">SUMPRODUCT(Calc_P3!C40:AJ40,Calc_P3!C63:AJ63)</f>
        <v>#NUM!</v>
      </c>
    </row>
    <row r="16" customFormat="false" ht="15" hidden="false" customHeight="true" outlineLevel="0" collapsed="false">
      <c r="B16" s="1" t="s">
        <v>357</v>
      </c>
      <c r="C16" s="21" t="n">
        <f aca="false">Calc_PSC!C58</f>
        <v>0</v>
      </c>
      <c r="D16" s="21" t="n">
        <f aca="false">Calc_PSC!C58</f>
        <v>0</v>
      </c>
      <c r="E16" s="21" t="n">
        <f aca="false">Calc_PSC!C58</f>
        <v>0</v>
      </c>
      <c r="F16" s="21" t="e">
        <f aca="false">SUMPRODUCT(Calc_P3!C29:AJ29,Calc_P3!C63:AJ63)</f>
        <v>#NUM!</v>
      </c>
    </row>
    <row r="18" customFormat="false" ht="15" hidden="false" customHeight="true" outlineLevel="0" collapsed="false">
      <c r="B18" s="20" t="s">
        <v>358</v>
      </c>
    </row>
    <row r="19" customFormat="false" ht="15" hidden="false" customHeight="true" outlineLevel="0" collapsed="false">
      <c r="B19" s="1" t="s">
        <v>273</v>
      </c>
      <c r="C19" s="1" t="n">
        <f aca="false">Risk_Register!$N$16*Delivery_Params!C14*0.75</f>
        <v>0</v>
      </c>
      <c r="D19" s="1" t="n">
        <f aca="false">Risk_Register!$N$16*Delivery_Params!D14*0.75</f>
        <v>0</v>
      </c>
      <c r="E19" s="1" t="n">
        <f aca="false">Risk_Register!$N$16*Delivery_Params!E14*0.75</f>
        <v>0</v>
      </c>
      <c r="F19" s="1" t="n">
        <f aca="false">Risk_Register!$N$18*0.75</f>
        <v>29.456875</v>
      </c>
    </row>
    <row r="20" customFormat="false" ht="15" hidden="false" customHeight="true" outlineLevel="0" collapsed="false">
      <c r="B20" s="1" t="s">
        <v>274</v>
      </c>
      <c r="C20" s="1" t="n">
        <f aca="false">Risk_Register!$N$17*Delivery_Params!C17*0.75</f>
        <v>34.300625</v>
      </c>
      <c r="D20" s="1" t="n">
        <f aca="false">Risk_Register!$N$17*Delivery_Params!D17*0.75</f>
        <v>6.860125</v>
      </c>
      <c r="E20" s="1" t="n">
        <f aca="false">Risk_Register!$N$17*Delivery_Params!E17*0.75</f>
        <v>27.4405</v>
      </c>
      <c r="F20" s="1" t="n">
        <f aca="false">Risk_Register!$N$18*0.25</f>
        <v>9.81895833333333</v>
      </c>
    </row>
    <row r="21" customFormat="false" ht="15" hidden="false" customHeight="true" outlineLevel="0" collapsed="false">
      <c r="B21" s="20" t="s">
        <v>359</v>
      </c>
      <c r="C21" s="12" t="n">
        <f aca="false">C19+C20</f>
        <v>34.300625</v>
      </c>
      <c r="D21" s="12" t="n">
        <f aca="false">D19+D20</f>
        <v>6.860125</v>
      </c>
      <c r="E21" s="12" t="n">
        <f aca="false">E19+E20</f>
        <v>27.4405</v>
      </c>
      <c r="F21" s="12" t="n">
        <f aca="false">F19+F20</f>
        <v>39.2758333333333</v>
      </c>
    </row>
    <row r="23" customFormat="false" ht="15" hidden="false" customHeight="true" outlineLevel="0" collapsed="false">
      <c r="B23" s="1" t="s">
        <v>360</v>
      </c>
      <c r="C23" s="21" t="n">
        <f aca="false">Calc_PSC!C60</f>
        <v>0</v>
      </c>
      <c r="D23" s="21" t="n">
        <f aca="false">Calc_PSC!C60*0.95</f>
        <v>0</v>
      </c>
      <c r="E23" s="21" t="n">
        <f aca="false">Calc_PSC!C60*0.98</f>
        <v>0</v>
      </c>
      <c r="F23" s="1" t="s">
        <v>352</v>
      </c>
    </row>
    <row r="25" customFormat="false" ht="15" hidden="false" customHeight="true" outlineLevel="0" collapsed="false">
      <c r="B25" s="1" t="s">
        <v>361</v>
      </c>
      <c r="C25" s="21" t="n">
        <f aca="false">Calc_PSC!C61</f>
        <v>0</v>
      </c>
      <c r="D25" s="21" t="n">
        <f aca="false">Calc_PSC!C61</f>
        <v>0</v>
      </c>
      <c r="E25" s="21" t="n">
        <f aca="false">Calc_PSC!C61</f>
        <v>0</v>
      </c>
      <c r="F25" s="21" t="e">
        <f aca="false">SUMPRODUCT(Calc_P3!C54:AJ54,Calc_P3!C63:AJ63)</f>
        <v>#NUM!</v>
      </c>
    </row>
    <row r="27" customFormat="false" ht="15" hidden="false" customHeight="true" outlineLevel="0" collapsed="false">
      <c r="B27" s="9" t="s">
        <v>362</v>
      </c>
      <c r="C27" s="25" t="e">
        <f aca="false">C13+C15+C16+C21+C23+C25</f>
        <v>#N/A</v>
      </c>
      <c r="D27" s="25" t="e">
        <f aca="false">D13+D15+D16+D21+D23+D25</f>
        <v>#N/A</v>
      </c>
      <c r="E27" s="25" t="e">
        <f aca="false">E13+E15+E16+E21+E23+E25</f>
        <v>#N/A</v>
      </c>
      <c r="F27" s="25" t="n">
        <f aca="false">Calc_P3!C70</f>
        <v>0</v>
      </c>
    </row>
    <row r="29" customFormat="false" ht="15" hidden="false" customHeight="true" outlineLevel="0" collapsed="false">
      <c r="B29" s="16" t="s">
        <v>363</v>
      </c>
    </row>
    <row r="30" customFormat="false" ht="15" hidden="false" customHeight="true" outlineLevel="0" collapsed="false">
      <c r="B30" s="1" t="s">
        <v>364</v>
      </c>
      <c r="C30" s="25" t="e">
        <f aca="false">C27-$F$27</f>
        <v>#N/A</v>
      </c>
      <c r="D30" s="25" t="e">
        <f aca="false">D27-$F$27</f>
        <v>#N/A</v>
      </c>
      <c r="E30" s="25" t="e">
        <f aca="false">E27-$F$27</f>
        <v>#N/A</v>
      </c>
      <c r="F30" s="1" t="s">
        <v>352</v>
      </c>
      <c r="G30" s="25" t="e">
        <f aca="false">INDEX(C30:E30,Inputs_Master!$C$12)</f>
        <v>#N/A</v>
      </c>
      <c r="H30" s="12" t="e">
        <f aca="false">G30/INDEX(C27:E27,Inputs_Master!$C$12)</f>
        <v>#N/A</v>
      </c>
    </row>
    <row r="32" customFormat="false" ht="15" hidden="false" customHeight="true" outlineLevel="0" collapsed="false">
      <c r="B32" s="1" t="s">
        <v>365</v>
      </c>
      <c r="C32" s="1" t="e">
        <f aca="false">IF(C30&gt;0,"✓ POSITIVE","✗ NEGATIVE")</f>
        <v>#N/A</v>
      </c>
      <c r="D32" s="1" t="e">
        <f aca="false">IF(D30&gt;0,"✓ POSITIVE","✗ NEGATIVE")</f>
        <v>#N/A</v>
      </c>
      <c r="E32" s="1" t="e">
        <f aca="false">IF(E30&gt;0,"✓ POSITIVE","✗ NEGATIVE")</f>
        <v>#N/A</v>
      </c>
    </row>
    <row r="34" customFormat="false" ht="15" hidden="false" customHeight="true" outlineLevel="0" collapsed="false">
      <c r="B34" s="16" t="s">
        <v>366</v>
      </c>
    </row>
    <row r="35" customFormat="false" ht="15" hidden="false" customHeight="true" outlineLevel="0" collapsed="false">
      <c r="B35" s="1" t="s">
        <v>367</v>
      </c>
      <c r="C35" s="21" t="n">
        <f aca="false">C21-$F$21</f>
        <v>-4.97520833333334</v>
      </c>
      <c r="D35" s="21" t="n">
        <f aca="false">D21-$F$21</f>
        <v>-32.4157083333333</v>
      </c>
      <c r="E35" s="21" t="n">
        <f aca="false">E21-$F$21</f>
        <v>-11.8353333333333</v>
      </c>
      <c r="F35" s="1" t="s">
        <v>352</v>
      </c>
    </row>
    <row r="36" customFormat="false" ht="15" hidden="false" customHeight="true" outlineLevel="0" collapsed="false">
      <c r="B36" s="1" t="s">
        <v>368</v>
      </c>
      <c r="C36" s="1" t="e">
        <f aca="false">IF(C30&lt;&gt;0,C35/C30,0)</f>
        <v>#N/A</v>
      </c>
      <c r="D36" s="1" t="e">
        <f aca="false">IF(D30&lt;&gt;0,D35/D30,0)</f>
        <v>#N/A</v>
      </c>
      <c r="E36" s="1" t="e">
        <f aca="false">IF(E30&lt;&gt;0,E35/E30,0)</f>
        <v>#N/A</v>
      </c>
    </row>
    <row r="39" customFormat="false" ht="15" hidden="false" customHeight="true" outlineLevel="0" collapsed="false">
      <c r="B39" s="16" t="s">
        <v>369</v>
      </c>
    </row>
    <row r="40" customFormat="false" ht="15" hidden="false" customHeight="true" outlineLevel="0" collapsed="false">
      <c r="B40" s="27" t="e">
        <f aca="false">CONCATENATE("P3 delivery provides positive Value for Money against all conventional delivery methods analyzed. ","The strongest case for P3 is versus ",IF(C30&gt;=D30,IF(C30&gt;=E30,"DBB","CM"),IF(D30&gt;=E30,"DB","CM"))," with VfM of $",ROUND(MAX(C30:E30),1),"M (",ROUND(MAX(C30:E30)/MAX(C27:E27)*100,1),"%). ","Risk transfer accounts for the majority of VfM across all scenarios.")</f>
        <v>#N/A</v>
      </c>
      <c r="C40" s="27"/>
      <c r="D40" s="27"/>
      <c r="E40" s="27"/>
      <c r="F40" s="27"/>
      <c r="G40" s="27"/>
      <c r="H40" s="27"/>
    </row>
    <row r="41" customFormat="false" ht="15" hidden="false" customHeight="true" outlineLevel="0" collapsed="false">
      <c r="B41" s="27"/>
      <c r="C41" s="27"/>
      <c r="D41" s="27"/>
      <c r="E41" s="27"/>
      <c r="F41" s="27"/>
      <c r="G41" s="27"/>
      <c r="H41" s="27"/>
    </row>
    <row r="42" customFormat="false" ht="15" hidden="false" customHeight="true" outlineLevel="0" collapsed="false">
      <c r="B42" s="27"/>
      <c r="C42" s="27"/>
      <c r="D42" s="27"/>
      <c r="E42" s="27"/>
      <c r="F42" s="27"/>
      <c r="G42" s="27"/>
      <c r="H42" s="27"/>
    </row>
  </sheetData>
  <mergeCells count="2">
    <mergeCell ref="B2:H2"/>
    <mergeCell ref="B40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7" min="3" style="1" width="15"/>
  </cols>
  <sheetData>
    <row r="2" customFormat="false" ht="17.25" hidden="false" customHeight="true" outlineLevel="0" collapsed="false">
      <c r="B2" s="8" t="s">
        <v>370</v>
      </c>
      <c r="C2" s="8"/>
      <c r="D2" s="8"/>
      <c r="E2" s="8"/>
      <c r="F2" s="8"/>
      <c r="G2" s="8"/>
      <c r="H2" s="8"/>
      <c r="I2" s="8"/>
    </row>
    <row r="5" customFormat="false" ht="15" hidden="false" customHeight="true" outlineLevel="0" collapsed="false">
      <c r="B5" s="16" t="s">
        <v>371</v>
      </c>
    </row>
    <row r="6" customFormat="false" ht="15" hidden="false" customHeight="true" outlineLevel="0" collapsed="false">
      <c r="B6" s="20" t="s">
        <v>372</v>
      </c>
      <c r="C6" s="20" t="s">
        <v>24</v>
      </c>
      <c r="D6" s="20" t="s">
        <v>25</v>
      </c>
      <c r="E6" s="20" t="s">
        <v>26</v>
      </c>
      <c r="F6" s="20" t="s">
        <v>27</v>
      </c>
    </row>
    <row r="7" customFormat="false" ht="15" hidden="false" customHeight="true" outlineLevel="0" collapsed="false">
      <c r="B7" s="28" t="n">
        <v>0.04</v>
      </c>
      <c r="C7" s="1" t="n">
        <f aca="false">VfM_Comparison!$G$27*(1+(0.06-B7)*8)</f>
        <v>0</v>
      </c>
      <c r="D7" s="1" t="n">
        <f aca="false">VfM_Comparison!$F$27*(1+(0.06-B7)*6)</f>
        <v>0</v>
      </c>
      <c r="E7" s="1" t="n">
        <f aca="false">C7-D7</f>
        <v>0</v>
      </c>
      <c r="F7" s="1" t="e">
        <f aca="false">E7/C7</f>
        <v>#DIV/0!</v>
      </c>
    </row>
    <row r="8" customFormat="false" ht="15" hidden="false" customHeight="true" outlineLevel="0" collapsed="false">
      <c r="B8" s="28" t="n">
        <v>0.05</v>
      </c>
      <c r="C8" s="1" t="n">
        <f aca="false">VfM_Comparison!$G$27*(1+(0.06-B8)*8)</f>
        <v>0</v>
      </c>
      <c r="D8" s="1" t="n">
        <f aca="false">VfM_Comparison!$F$27*(1+(0.06-B8)*6)</f>
        <v>0</v>
      </c>
      <c r="E8" s="1" t="n">
        <f aca="false">C8-D8</f>
        <v>0</v>
      </c>
      <c r="F8" s="1" t="e">
        <f aca="false">E8/C8</f>
        <v>#DIV/0!</v>
      </c>
    </row>
    <row r="9" customFormat="false" ht="15" hidden="false" customHeight="true" outlineLevel="0" collapsed="false">
      <c r="B9" s="6" t="n">
        <v>0.06</v>
      </c>
      <c r="C9" s="12" t="n">
        <f aca="false">VfM_Comparison!$G$27*(1+(0.06-B9)*8)</f>
        <v>0</v>
      </c>
      <c r="D9" s="12" t="n">
        <f aca="false">VfM_Comparison!$F$27*(1+(0.06-B9)*6)</f>
        <v>0</v>
      </c>
      <c r="E9" s="12" t="n">
        <f aca="false">C9-D9</f>
        <v>0</v>
      </c>
      <c r="F9" s="1" t="e">
        <f aca="false">E9/C9</f>
        <v>#DIV/0!</v>
      </c>
    </row>
    <row r="10" customFormat="false" ht="15" hidden="false" customHeight="true" outlineLevel="0" collapsed="false">
      <c r="B10" s="28" t="n">
        <v>0.07</v>
      </c>
      <c r="C10" s="1" t="n">
        <f aca="false">VfM_Comparison!$G$27*(1+(0.06-B10)*8)</f>
        <v>0</v>
      </c>
      <c r="D10" s="1" t="n">
        <f aca="false">VfM_Comparison!$F$27*(1+(0.06-B10)*6)</f>
        <v>0</v>
      </c>
      <c r="E10" s="1" t="n">
        <f aca="false">C10-D10</f>
        <v>0</v>
      </c>
      <c r="F10" s="1" t="e">
        <f aca="false">E10/C10</f>
        <v>#DIV/0!</v>
      </c>
    </row>
    <row r="11" customFormat="false" ht="15" hidden="false" customHeight="true" outlineLevel="0" collapsed="false">
      <c r="B11" s="28" t="n">
        <v>0.08</v>
      </c>
      <c r="C11" s="1" t="n">
        <f aca="false">VfM_Comparison!$G$27*(1+(0.06-B11)*8)</f>
        <v>0</v>
      </c>
      <c r="D11" s="1" t="n">
        <f aca="false">VfM_Comparison!$F$27*(1+(0.06-B11)*6)</f>
        <v>0</v>
      </c>
      <c r="E11" s="1" t="n">
        <f aca="false">C11-D11</f>
        <v>0</v>
      </c>
      <c r="F11" s="1" t="e">
        <f aca="false">E11/C11</f>
        <v>#DIV/0!</v>
      </c>
    </row>
    <row r="12" customFormat="false" ht="15" hidden="false" customHeight="true" outlineLevel="0" collapsed="false">
      <c r="B12" s="28" t="n">
        <v>0.09</v>
      </c>
      <c r="C12" s="1" t="n">
        <f aca="false">VfM_Comparison!$G$27*(1+(0.06-B12)*8)</f>
        <v>0</v>
      </c>
      <c r="D12" s="1" t="n">
        <f aca="false">VfM_Comparison!$F$27*(1+(0.06-B12)*6)</f>
        <v>0</v>
      </c>
      <c r="E12" s="1" t="n">
        <f aca="false">C12-D12</f>
        <v>0</v>
      </c>
      <c r="F12" s="1" t="e">
        <f aca="false">E12/C12</f>
        <v>#DIV/0!</v>
      </c>
    </row>
    <row r="13" customFormat="false" ht="15" hidden="false" customHeight="true" outlineLevel="0" collapsed="false">
      <c r="B13" s="28" t="n">
        <v>0.1</v>
      </c>
      <c r="C13" s="1" t="n">
        <f aca="false">VfM_Comparison!$G$27*(1+(0.06-B13)*8)</f>
        <v>0</v>
      </c>
      <c r="D13" s="1" t="n">
        <f aca="false">VfM_Comparison!$F$27*(1+(0.06-B13)*6)</f>
        <v>0</v>
      </c>
      <c r="E13" s="1" t="n">
        <f aca="false">C13-D13</f>
        <v>0</v>
      </c>
      <c r="F13" s="1" t="e">
        <f aca="false">E13/C13</f>
        <v>#DIV/0!</v>
      </c>
    </row>
    <row r="16" customFormat="false" ht="15" hidden="false" customHeight="true" outlineLevel="0" collapsed="false">
      <c r="B16" s="16" t="s">
        <v>373</v>
      </c>
    </row>
    <row r="17" customFormat="false" ht="15" hidden="false" customHeight="true" outlineLevel="0" collapsed="false">
      <c r="B17" s="20" t="s">
        <v>374</v>
      </c>
      <c r="C17" s="20" t="s">
        <v>24</v>
      </c>
      <c r="D17" s="20" t="s">
        <v>25</v>
      </c>
      <c r="E17" s="20" t="s">
        <v>26</v>
      </c>
      <c r="F17" s="20" t="s">
        <v>27</v>
      </c>
    </row>
    <row r="18" customFormat="false" ht="15" hidden="false" customHeight="true" outlineLevel="0" collapsed="false">
      <c r="B18" s="28" t="n">
        <v>-0.2</v>
      </c>
      <c r="C18" s="1" t="n">
        <f aca="false">VfM_Comparison!$G$27+Inputs_Master!$C$28*B18</f>
        <v>-3</v>
      </c>
      <c r="D18" s="1" t="n">
        <f aca="false">VfM_Comparison!$F$27+Inputs_Master!$C$28*B18*(1+Inputs_Master!$C$35)</f>
        <v>-3.75</v>
      </c>
      <c r="E18" s="1" t="n">
        <f aca="false">C18-D18</f>
        <v>0.75</v>
      </c>
      <c r="F18" s="1" t="n">
        <f aca="false">E18/C18</f>
        <v>-0.25</v>
      </c>
    </row>
    <row r="19" customFormat="false" ht="15" hidden="false" customHeight="true" outlineLevel="0" collapsed="false">
      <c r="B19" s="28" t="n">
        <v>-0.1</v>
      </c>
      <c r="C19" s="1" t="n">
        <f aca="false">VfM_Comparison!$G$27+Inputs_Master!$C$28*B19</f>
        <v>-1.5</v>
      </c>
      <c r="D19" s="1" t="n">
        <f aca="false">VfM_Comparison!$F$27+Inputs_Master!$C$28*B19*(1+Inputs_Master!$C$35)</f>
        <v>-1.875</v>
      </c>
      <c r="E19" s="1" t="n">
        <f aca="false">C19-D19</f>
        <v>0.375</v>
      </c>
      <c r="F19" s="1" t="n">
        <f aca="false">E19/C19</f>
        <v>-0.25</v>
      </c>
    </row>
    <row r="20" customFormat="false" ht="15" hidden="false" customHeight="true" outlineLevel="0" collapsed="false">
      <c r="B20" s="6" t="n">
        <v>0</v>
      </c>
      <c r="C20" s="1" t="n">
        <f aca="false">VfM_Comparison!$G$27+Inputs_Master!$C$28*B20</f>
        <v>0</v>
      </c>
      <c r="D20" s="1" t="n">
        <f aca="false">VfM_Comparison!$F$27+Inputs_Master!$C$28*B20*(1+Inputs_Master!$C$35)</f>
        <v>0</v>
      </c>
      <c r="E20" s="12" t="n">
        <f aca="false">C20-D20</f>
        <v>0</v>
      </c>
      <c r="F20" s="1" t="e">
        <f aca="false">E20/C20</f>
        <v>#DIV/0!</v>
      </c>
    </row>
    <row r="21" customFormat="false" ht="15" hidden="false" customHeight="true" outlineLevel="0" collapsed="false">
      <c r="B21" s="28" t="n">
        <v>0.1</v>
      </c>
      <c r="C21" s="1" t="n">
        <f aca="false">VfM_Comparison!$G$27+Inputs_Master!$C$28*B21</f>
        <v>1.5</v>
      </c>
      <c r="D21" s="1" t="n">
        <f aca="false">VfM_Comparison!$F$27+Inputs_Master!$C$28*B21*(1+Inputs_Master!$C$35)</f>
        <v>1.875</v>
      </c>
      <c r="E21" s="1" t="n">
        <f aca="false">C21-D21</f>
        <v>-0.375</v>
      </c>
      <c r="F21" s="1" t="n">
        <f aca="false">E21/C21</f>
        <v>-0.25</v>
      </c>
    </row>
    <row r="22" customFormat="false" ht="15" hidden="false" customHeight="true" outlineLevel="0" collapsed="false">
      <c r="B22" s="28" t="n">
        <v>0.2</v>
      </c>
      <c r="C22" s="1" t="n">
        <f aca="false">VfM_Comparison!$G$27+Inputs_Master!$C$28*B22</f>
        <v>3</v>
      </c>
      <c r="D22" s="1" t="n">
        <f aca="false">VfM_Comparison!$F$27+Inputs_Master!$C$28*B22*(1+Inputs_Master!$C$35)</f>
        <v>3.75</v>
      </c>
      <c r="E22" s="1" t="n">
        <f aca="false">C22-D22</f>
        <v>-0.75</v>
      </c>
      <c r="F22" s="1" t="n">
        <f aca="false">E22/C22</f>
        <v>-0.25</v>
      </c>
    </row>
    <row r="23" customFormat="false" ht="15" hidden="false" customHeight="true" outlineLevel="0" collapsed="false">
      <c r="B23" s="28" t="n">
        <v>0.3</v>
      </c>
      <c r="C23" s="1" t="n">
        <f aca="false">VfM_Comparison!$G$27+Inputs_Master!$C$28*B23</f>
        <v>4.5</v>
      </c>
      <c r="D23" s="1" t="n">
        <f aca="false">VfM_Comparison!$F$27+Inputs_Master!$C$28*B23*(1+Inputs_Master!$C$35)</f>
        <v>5.625</v>
      </c>
      <c r="E23" s="1" t="n">
        <f aca="false">C23-D23</f>
        <v>-1.125</v>
      </c>
      <c r="F23" s="1" t="n">
        <f aca="false">E23/C23</f>
        <v>-0.25</v>
      </c>
    </row>
    <row r="26" customFormat="false" ht="15" hidden="false" customHeight="true" outlineLevel="0" collapsed="false">
      <c r="B26" s="16" t="s">
        <v>375</v>
      </c>
    </row>
    <row r="27" customFormat="false" ht="15" hidden="false" customHeight="true" outlineLevel="0" collapsed="false">
      <c r="B27" s="29" t="s">
        <v>376</v>
      </c>
    </row>
    <row r="29" customFormat="false" ht="15" hidden="false" customHeight="true" outlineLevel="0" collapsed="false">
      <c r="B29" s="20" t="s">
        <v>377</v>
      </c>
      <c r="C29" s="20" t="s">
        <v>378</v>
      </c>
      <c r="D29" s="20" t="s">
        <v>379</v>
      </c>
      <c r="E29" s="20" t="s">
        <v>380</v>
      </c>
      <c r="F29" s="20" t="s">
        <v>29</v>
      </c>
    </row>
    <row r="30" customFormat="false" ht="15" hidden="false" customHeight="true" outlineLevel="0" collapsed="false">
      <c r="B30" s="1" t="s">
        <v>372</v>
      </c>
      <c r="C30" s="1" t="e">
        <f aca="false">Inputs_Master!C15</f>
        <v>#N/A</v>
      </c>
      <c r="D30" s="1" t="s">
        <v>381</v>
      </c>
      <c r="E30" s="1" t="s">
        <v>382</v>
      </c>
      <c r="F30" s="12" t="s">
        <v>383</v>
      </c>
    </row>
    <row r="31" customFormat="false" ht="15" hidden="false" customHeight="true" outlineLevel="0" collapsed="false">
      <c r="B31" s="1" t="s">
        <v>384</v>
      </c>
      <c r="C31" s="1" t="n">
        <f aca="false">Inputs_Master!C35</f>
        <v>0.25</v>
      </c>
      <c r="D31" s="1" t="s">
        <v>385</v>
      </c>
      <c r="E31" s="1" t="s">
        <v>386</v>
      </c>
      <c r="F31" s="12" t="s">
        <v>383</v>
      </c>
    </row>
    <row r="32" customFormat="false" ht="15" hidden="false" customHeight="true" outlineLevel="0" collapsed="false">
      <c r="B32" s="1" t="s">
        <v>247</v>
      </c>
      <c r="C32" s="1" t="n">
        <f aca="false">Risk_Register!N19</f>
        <v>2.10416666666667</v>
      </c>
      <c r="D32" s="1" t="s">
        <v>387</v>
      </c>
      <c r="E32" s="1" t="s">
        <v>388</v>
      </c>
      <c r="F32" s="12" t="s">
        <v>389</v>
      </c>
    </row>
    <row r="35" customFormat="false" ht="15" hidden="false" customHeight="true" outlineLevel="0" collapsed="false">
      <c r="B35" s="16" t="s">
        <v>390</v>
      </c>
    </row>
    <row r="36" customFormat="false" ht="15" hidden="false" customHeight="true" outlineLevel="0" collapsed="false">
      <c r="B36" s="20" t="s">
        <v>377</v>
      </c>
      <c r="C36" s="20" t="s">
        <v>391</v>
      </c>
      <c r="D36" s="20" t="s">
        <v>392</v>
      </c>
      <c r="E36" s="20" t="s">
        <v>393</v>
      </c>
      <c r="F36" s="20" t="s">
        <v>394</v>
      </c>
    </row>
    <row r="37" customFormat="false" ht="15" hidden="false" customHeight="true" outlineLevel="0" collapsed="false">
      <c r="B37" s="1" t="s">
        <v>372</v>
      </c>
      <c r="C37" s="1" t="n">
        <f aca="false">VfM_Comparison!$G$29*0.9</f>
        <v>0</v>
      </c>
      <c r="D37" s="1" t="n">
        <f aca="false">VfM_Comparison!$G$29*1.1</f>
        <v>0</v>
      </c>
      <c r="E37" s="1" t="n">
        <f aca="false">D37-C37</f>
        <v>0</v>
      </c>
      <c r="F37" s="1" t="n">
        <v>1</v>
      </c>
    </row>
    <row r="38" customFormat="false" ht="15" hidden="false" customHeight="true" outlineLevel="0" collapsed="false">
      <c r="B38" s="1" t="s">
        <v>395</v>
      </c>
      <c r="C38" s="1" t="n">
        <f aca="false">VfM_Comparison!$G$29*0.9</f>
        <v>0</v>
      </c>
      <c r="D38" s="1" t="n">
        <f aca="false">VfM_Comparison!$G$29*1.1</f>
        <v>0</v>
      </c>
      <c r="E38" s="1" t="n">
        <f aca="false">D38-C38</f>
        <v>0</v>
      </c>
      <c r="F38" s="1" t="n">
        <v>2</v>
      </c>
    </row>
    <row r="39" customFormat="false" ht="15" hidden="false" customHeight="true" outlineLevel="0" collapsed="false">
      <c r="B39" s="1" t="s">
        <v>396</v>
      </c>
      <c r="C39" s="1" t="n">
        <f aca="false">VfM_Comparison!$G$29*0.9</f>
        <v>0</v>
      </c>
      <c r="D39" s="1" t="n">
        <f aca="false">VfM_Comparison!$G$29*1.1</f>
        <v>0</v>
      </c>
      <c r="E39" s="1" t="n">
        <f aca="false">D39-C39</f>
        <v>0</v>
      </c>
      <c r="F39" s="1" t="n">
        <v>3</v>
      </c>
    </row>
    <row r="40" customFormat="false" ht="15" hidden="false" customHeight="true" outlineLevel="0" collapsed="false">
      <c r="B40" s="1" t="s">
        <v>397</v>
      </c>
      <c r="C40" s="1" t="n">
        <f aca="false">VfM_Comparison!$G$29*0.9</f>
        <v>0</v>
      </c>
      <c r="D40" s="1" t="n">
        <f aca="false">VfM_Comparison!$G$29*1.1</f>
        <v>0</v>
      </c>
      <c r="E40" s="1" t="n">
        <f aca="false">D40-C40</f>
        <v>0</v>
      </c>
      <c r="F40" s="1" t="n">
        <v>4</v>
      </c>
    </row>
    <row r="41" customFormat="false" ht="15" hidden="false" customHeight="true" outlineLevel="0" collapsed="false">
      <c r="B41" s="1" t="s">
        <v>398</v>
      </c>
      <c r="C41" s="1" t="n">
        <f aca="false">VfM_Comparison!$G$29*0.9</f>
        <v>0</v>
      </c>
      <c r="D41" s="1" t="n">
        <f aca="false">VfM_Comparison!$G$29*1.1</f>
        <v>0</v>
      </c>
      <c r="E41" s="1" t="n">
        <f aca="false">D41-C41</f>
        <v>0</v>
      </c>
      <c r="F41" s="1" t="n">
        <v>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28"/>
    <col collapsed="false" customWidth="true" hidden="false" outlineLevel="0" max="5" min="5" style="1" width="15"/>
    <col collapsed="false" customWidth="true" hidden="false" outlineLevel="0" max="6" min="6" style="1" width="40"/>
    <col collapsed="false" customWidth="true" hidden="false" outlineLevel="0" max="8" min="7" style="1" width="12"/>
  </cols>
  <sheetData>
    <row r="2" customFormat="false" ht="17.25" hidden="false" customHeight="true" outlineLevel="0" collapsed="false">
      <c r="B2" s="8" t="s">
        <v>399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26" t="s">
        <v>400</v>
      </c>
    </row>
    <row r="5" customFormat="false" ht="15" hidden="false" customHeight="true" outlineLevel="0" collapsed="false">
      <c r="B5" s="16" t="s">
        <v>189</v>
      </c>
      <c r="C5" s="16" t="s">
        <v>190</v>
      </c>
      <c r="D5" s="16" t="s">
        <v>401</v>
      </c>
      <c r="E5" s="16" t="s">
        <v>402</v>
      </c>
      <c r="F5" s="16" t="s">
        <v>403</v>
      </c>
      <c r="G5" s="16" t="s">
        <v>404</v>
      </c>
      <c r="H5" s="16" t="s">
        <v>405</v>
      </c>
    </row>
    <row r="6" customFormat="false" ht="15" hidden="false" customHeight="true" outlineLevel="0" collapsed="false">
      <c r="B6" s="1" t="s">
        <v>406</v>
      </c>
      <c r="C6" s="1" t="s">
        <v>407</v>
      </c>
      <c r="D6" s="1" t="s">
        <v>64</v>
      </c>
      <c r="E6" s="28" t="s">
        <v>408</v>
      </c>
      <c r="F6" s="1" t="s">
        <v>409</v>
      </c>
      <c r="G6" s="1" t="s">
        <v>410</v>
      </c>
      <c r="H6" s="1" t="s">
        <v>411</v>
      </c>
    </row>
    <row r="7" customFormat="false" ht="15" hidden="false" customHeight="true" outlineLevel="0" collapsed="false">
      <c r="B7" s="1" t="s">
        <v>412</v>
      </c>
      <c r="C7" s="1" t="s">
        <v>407</v>
      </c>
      <c r="D7" s="1" t="s">
        <v>413</v>
      </c>
      <c r="E7" s="28" t="s">
        <v>414</v>
      </c>
      <c r="F7" s="1" t="s">
        <v>415</v>
      </c>
      <c r="G7" s="1" t="s">
        <v>410</v>
      </c>
      <c r="H7" s="1" t="s">
        <v>411</v>
      </c>
    </row>
    <row r="8" customFormat="false" ht="15" hidden="false" customHeight="true" outlineLevel="0" collapsed="false">
      <c r="B8" s="1" t="s">
        <v>416</v>
      </c>
      <c r="C8" s="1" t="s">
        <v>407</v>
      </c>
      <c r="D8" s="1" t="s">
        <v>70</v>
      </c>
      <c r="E8" s="28" t="s">
        <v>417</v>
      </c>
      <c r="F8" s="1" t="s">
        <v>418</v>
      </c>
      <c r="G8" s="1" t="s">
        <v>410</v>
      </c>
      <c r="H8" s="1" t="s">
        <v>411</v>
      </c>
    </row>
    <row r="9" customFormat="false" ht="15" hidden="false" customHeight="true" outlineLevel="0" collapsed="false">
      <c r="B9" s="1" t="s">
        <v>419</v>
      </c>
      <c r="C9" s="1" t="s">
        <v>407</v>
      </c>
      <c r="D9" s="1" t="s">
        <v>73</v>
      </c>
      <c r="E9" s="28" t="s">
        <v>417</v>
      </c>
      <c r="F9" s="1" t="s">
        <v>420</v>
      </c>
      <c r="G9" s="1" t="s">
        <v>410</v>
      </c>
      <c r="H9" s="1" t="s">
        <v>411</v>
      </c>
    </row>
    <row r="10" customFormat="false" ht="15" hidden="false" customHeight="true" outlineLevel="0" collapsed="false">
      <c r="B10" s="1" t="s">
        <v>421</v>
      </c>
      <c r="C10" s="1" t="s">
        <v>422</v>
      </c>
      <c r="D10" s="1" t="s">
        <v>75</v>
      </c>
      <c r="E10" s="28" t="s">
        <v>423</v>
      </c>
      <c r="F10" s="1" t="s">
        <v>424</v>
      </c>
      <c r="G10" s="1" t="s">
        <v>410</v>
      </c>
      <c r="H10" s="1" t="s">
        <v>411</v>
      </c>
    </row>
    <row r="11" customFormat="false" ht="15" hidden="false" customHeight="true" outlineLevel="0" collapsed="false">
      <c r="B11" s="1" t="s">
        <v>425</v>
      </c>
      <c r="C11" s="1" t="s">
        <v>422</v>
      </c>
      <c r="D11" s="1" t="s">
        <v>77</v>
      </c>
      <c r="E11" s="28" t="s">
        <v>426</v>
      </c>
      <c r="F11" s="1" t="s">
        <v>427</v>
      </c>
      <c r="G11" s="1" t="s">
        <v>410</v>
      </c>
      <c r="H11" s="1" t="s">
        <v>411</v>
      </c>
    </row>
    <row r="12" customFormat="false" ht="15" hidden="false" customHeight="true" outlineLevel="0" collapsed="false">
      <c r="B12" s="1" t="s">
        <v>428</v>
      </c>
      <c r="C12" s="1" t="s">
        <v>429</v>
      </c>
      <c r="D12" s="1" t="s">
        <v>102</v>
      </c>
      <c r="E12" s="28" t="s">
        <v>430</v>
      </c>
      <c r="F12" s="1" t="s">
        <v>431</v>
      </c>
      <c r="G12" s="1" t="s">
        <v>410</v>
      </c>
      <c r="H12" s="1" t="s">
        <v>411</v>
      </c>
    </row>
    <row r="13" customFormat="false" ht="15" hidden="false" customHeight="true" outlineLevel="0" collapsed="false">
      <c r="B13" s="1" t="s">
        <v>432</v>
      </c>
      <c r="C13" s="1" t="s">
        <v>429</v>
      </c>
      <c r="D13" s="1" t="s">
        <v>106</v>
      </c>
      <c r="E13" s="28" t="s">
        <v>433</v>
      </c>
      <c r="F13" s="1" t="s">
        <v>434</v>
      </c>
      <c r="G13" s="1" t="s">
        <v>410</v>
      </c>
      <c r="H13" s="1" t="s">
        <v>411</v>
      </c>
    </row>
    <row r="14" customFormat="false" ht="15" hidden="false" customHeight="true" outlineLevel="0" collapsed="false">
      <c r="B14" s="1" t="s">
        <v>435</v>
      </c>
      <c r="C14" s="1" t="s">
        <v>429</v>
      </c>
      <c r="D14" s="1" t="s">
        <v>436</v>
      </c>
      <c r="E14" s="28" t="s">
        <v>437</v>
      </c>
      <c r="F14" s="1" t="s">
        <v>438</v>
      </c>
      <c r="G14" s="1" t="s">
        <v>410</v>
      </c>
      <c r="H14" s="1" t="s">
        <v>411</v>
      </c>
    </row>
    <row r="15" customFormat="false" ht="15" hidden="false" customHeight="true" outlineLevel="0" collapsed="false">
      <c r="B15" s="1" t="s">
        <v>439</v>
      </c>
      <c r="C15" s="1" t="s">
        <v>440</v>
      </c>
      <c r="D15" s="1" t="s">
        <v>441</v>
      </c>
      <c r="E15" s="28" t="s">
        <v>442</v>
      </c>
      <c r="F15" s="1" t="s">
        <v>443</v>
      </c>
      <c r="G15" s="1" t="s">
        <v>410</v>
      </c>
      <c r="H15" s="1" t="s">
        <v>411</v>
      </c>
    </row>
    <row r="16" customFormat="false" ht="15" hidden="false" customHeight="true" outlineLevel="0" collapsed="false">
      <c r="B16" s="1" t="s">
        <v>444</v>
      </c>
      <c r="C16" s="1" t="s">
        <v>440</v>
      </c>
      <c r="D16" s="1" t="s">
        <v>445</v>
      </c>
      <c r="E16" s="28" t="s">
        <v>446</v>
      </c>
      <c r="F16" s="1" t="s">
        <v>447</v>
      </c>
      <c r="G16" s="1" t="s">
        <v>410</v>
      </c>
      <c r="H16" s="1" t="s">
        <v>411</v>
      </c>
    </row>
    <row r="17" customFormat="false" ht="15" hidden="false" customHeight="true" outlineLevel="0" collapsed="false">
      <c r="B17" s="1" t="s">
        <v>448</v>
      </c>
      <c r="C17" s="1" t="s">
        <v>440</v>
      </c>
      <c r="D17" s="1" t="s">
        <v>449</v>
      </c>
      <c r="E17" s="28" t="s">
        <v>433</v>
      </c>
      <c r="F17" s="1" t="s">
        <v>450</v>
      </c>
      <c r="G17" s="1" t="s">
        <v>410</v>
      </c>
      <c r="H17" s="1" t="s">
        <v>411</v>
      </c>
    </row>
    <row r="18" customFormat="false" ht="15" hidden="false" customHeight="true" outlineLevel="0" collapsed="false">
      <c r="B18" s="1" t="s">
        <v>451</v>
      </c>
      <c r="C18" s="1" t="s">
        <v>440</v>
      </c>
      <c r="D18" s="1" t="s">
        <v>384</v>
      </c>
      <c r="E18" s="28" t="s">
        <v>452</v>
      </c>
      <c r="F18" s="1" t="s">
        <v>453</v>
      </c>
      <c r="G18" s="1" t="s">
        <v>410</v>
      </c>
      <c r="H18" s="1" t="s">
        <v>411</v>
      </c>
    </row>
    <row r="19" customFormat="false" ht="15" hidden="false" customHeight="true" outlineLevel="0" collapsed="false">
      <c r="B19" s="1" t="s">
        <v>454</v>
      </c>
      <c r="C19" s="1" t="s">
        <v>455</v>
      </c>
      <c r="D19" s="1" t="s">
        <v>456</v>
      </c>
      <c r="E19" s="28" t="s">
        <v>457</v>
      </c>
      <c r="F19" s="1" t="s">
        <v>458</v>
      </c>
      <c r="G19" s="1" t="s">
        <v>410</v>
      </c>
      <c r="H19" s="1" t="s">
        <v>411</v>
      </c>
    </row>
    <row r="20" customFormat="false" ht="15" hidden="false" customHeight="true" outlineLevel="0" collapsed="false">
      <c r="B20" s="1" t="s">
        <v>459</v>
      </c>
      <c r="C20" s="1" t="s">
        <v>455</v>
      </c>
      <c r="D20" s="1" t="s">
        <v>460</v>
      </c>
      <c r="E20" s="28" t="s">
        <v>461</v>
      </c>
      <c r="F20" s="1" t="s">
        <v>462</v>
      </c>
      <c r="G20" s="1" t="s">
        <v>410</v>
      </c>
      <c r="H20" s="1" t="s">
        <v>411</v>
      </c>
    </row>
    <row r="21" customFormat="false" ht="15" hidden="false" customHeight="true" outlineLevel="0" collapsed="false">
      <c r="B21" s="1" t="s">
        <v>463</v>
      </c>
      <c r="C21" s="1" t="s">
        <v>464</v>
      </c>
      <c r="D21" s="1" t="s">
        <v>465</v>
      </c>
      <c r="E21" s="28" t="s">
        <v>466</v>
      </c>
      <c r="F21" s="1" t="s">
        <v>467</v>
      </c>
      <c r="G21" s="1" t="s">
        <v>410</v>
      </c>
      <c r="H21" s="1" t="s">
        <v>411</v>
      </c>
    </row>
    <row r="22" customFormat="false" ht="15" hidden="false" customHeight="true" outlineLevel="0" collapsed="false">
      <c r="B22" s="1" t="s">
        <v>468</v>
      </c>
      <c r="C22" s="1" t="s">
        <v>464</v>
      </c>
      <c r="D22" s="1" t="s">
        <v>136</v>
      </c>
      <c r="E22" s="28" t="s">
        <v>461</v>
      </c>
      <c r="F22" s="1" t="s">
        <v>469</v>
      </c>
      <c r="G22" s="1" t="s">
        <v>410</v>
      </c>
      <c r="H22" s="1" t="s">
        <v>411</v>
      </c>
    </row>
    <row r="23" customFormat="false" ht="15" hidden="false" customHeight="true" outlineLevel="0" collapsed="false">
      <c r="B23" s="1" t="s">
        <v>470</v>
      </c>
    </row>
    <row r="24" customFormat="false" ht="15" hidden="false" customHeight="true" outlineLevel="0" collapsed="false">
      <c r="B24" s="1" t="s">
        <v>471</v>
      </c>
    </row>
    <row r="25" customFormat="false" ht="15" hidden="false" customHeight="true" outlineLevel="0" collapsed="false">
      <c r="B25" s="1" t="s">
        <v>472</v>
      </c>
    </row>
    <row r="26" customFormat="false" ht="15" hidden="false" customHeight="true" outlineLevel="0" collapsed="false">
      <c r="B26" s="1" t="s">
        <v>473</v>
      </c>
    </row>
    <row r="27" customFormat="false" ht="15" hidden="false" customHeight="true" outlineLevel="0" collapsed="false">
      <c r="B27" s="1" t="s">
        <v>474</v>
      </c>
    </row>
    <row r="28" customFormat="false" ht="15" hidden="false" customHeight="true" outlineLevel="0" collapsed="false">
      <c r="B28" s="1" t="s">
        <v>475</v>
      </c>
    </row>
    <row r="29" customFormat="false" ht="15" hidden="false" customHeight="true" outlineLevel="0" collapsed="false">
      <c r="B29" s="1" t="s">
        <v>476</v>
      </c>
    </row>
    <row r="30" customFormat="false" ht="15" hidden="false" customHeight="true" outlineLevel="0" collapsed="false">
      <c r="B30" s="1" t="s">
        <v>477</v>
      </c>
    </row>
    <row r="31" customFormat="false" ht="15" hidden="false" customHeight="true" outlineLevel="0" collapsed="false">
      <c r="B31" s="1" t="s">
        <v>478</v>
      </c>
    </row>
    <row r="32" customFormat="false" ht="15" hidden="false" customHeight="true" outlineLevel="0" collapsed="false">
      <c r="B32" s="1" t="s">
        <v>479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0"/>
  </cols>
  <sheetData>
    <row r="2" customFormat="false" ht="17.25" hidden="false" customHeight="true" outlineLevel="0" collapsed="false">
      <c r="B2" s="8" t="s">
        <v>480</v>
      </c>
      <c r="C2" s="8"/>
      <c r="D2" s="8"/>
      <c r="E2" s="8"/>
      <c r="F2" s="8"/>
      <c r="G2" s="8"/>
    </row>
    <row r="4" customFormat="false" ht="15" hidden="false" customHeight="true" outlineLevel="0" collapsed="false">
      <c r="B4" s="20" t="s">
        <v>481</v>
      </c>
    </row>
    <row r="6" customFormat="false" ht="15" hidden="false" customHeight="true" outlineLevel="0" collapsed="false">
      <c r="B6" s="1" t="s">
        <v>482</v>
      </c>
    </row>
    <row r="7" customFormat="false" ht="15" hidden="false" customHeight="true" outlineLevel="0" collapsed="false">
      <c r="B7" s="1" t="s">
        <v>483</v>
      </c>
    </row>
    <row r="8" customFormat="false" ht="15" hidden="false" customHeight="true" outlineLevel="0" collapsed="false">
      <c r="B8" s="1" t="s">
        <v>484</v>
      </c>
    </row>
    <row r="9" customFormat="false" ht="15" hidden="false" customHeight="true" outlineLevel="0" collapsed="false">
      <c r="B9" s="1" t="s">
        <v>485</v>
      </c>
    </row>
    <row r="11" customFormat="false" ht="15" hidden="false" customHeight="true" outlineLevel="0" collapsed="false">
      <c r="B11" s="1" t="s">
        <v>486</v>
      </c>
    </row>
    <row r="12" customFormat="false" ht="15" hidden="false" customHeight="true" outlineLevel="0" collapsed="false">
      <c r="B12" s="1" t="s">
        <v>487</v>
      </c>
    </row>
    <row r="13" customFormat="false" ht="15" hidden="false" customHeight="true" outlineLevel="0" collapsed="false">
      <c r="B13" s="1" t="s">
        <v>488</v>
      </c>
    </row>
    <row r="15" customFormat="false" ht="15" hidden="false" customHeight="true" outlineLevel="0" collapsed="false">
      <c r="B15" s="1" t="s">
        <v>489</v>
      </c>
    </row>
    <row r="16" customFormat="false" ht="15" hidden="false" customHeight="true" outlineLevel="0" collapsed="false">
      <c r="B16" s="1" t="s">
        <v>490</v>
      </c>
    </row>
    <row r="17" customFormat="false" ht="15" hidden="false" customHeight="true" outlineLevel="0" collapsed="false">
      <c r="B17" s="1" t="s">
        <v>491</v>
      </c>
    </row>
    <row r="19" customFormat="false" ht="15" hidden="false" customHeight="true" outlineLevel="0" collapsed="false">
      <c r="B19" s="1" t="s">
        <v>492</v>
      </c>
    </row>
    <row r="20" customFormat="false" ht="15" hidden="false" customHeight="true" outlineLevel="0" collapsed="false">
      <c r="B20" s="1" t="s">
        <v>493</v>
      </c>
    </row>
    <row r="21" customFormat="false" ht="15" hidden="false" customHeight="true" outlineLevel="0" collapsed="false">
      <c r="B21" s="1" t="s">
        <v>494</v>
      </c>
    </row>
    <row r="22" customFormat="false" ht="15" hidden="false" customHeight="true" outlineLevel="0" collapsed="false">
      <c r="B22" s="1" t="s">
        <v>495</v>
      </c>
    </row>
    <row r="24" customFormat="false" ht="15" hidden="false" customHeight="true" outlineLevel="0" collapsed="false">
      <c r="B24" s="1" t="s">
        <v>496</v>
      </c>
    </row>
    <row r="25" customFormat="false" ht="15" hidden="false" customHeight="true" outlineLevel="0" collapsed="false">
      <c r="B25" s="1" t="s">
        <v>497</v>
      </c>
    </row>
    <row r="26" customFormat="false" ht="15" hidden="false" customHeight="true" outlineLevel="0" collapsed="false">
      <c r="B26" s="1" t="s">
        <v>498</v>
      </c>
    </row>
    <row r="28" customFormat="false" ht="15" hidden="false" customHeight="true" outlineLevel="0" collapsed="false">
      <c r="B28" s="1" t="s">
        <v>499</v>
      </c>
    </row>
    <row r="29" customFormat="false" ht="15" hidden="false" customHeight="true" outlineLevel="0" collapsed="false">
      <c r="B29" s="1" t="s">
        <v>500</v>
      </c>
    </row>
    <row r="30" customFormat="false" ht="15" hidden="false" customHeight="true" outlineLevel="0" collapsed="false">
      <c r="B30" s="1" t="s">
        <v>501</v>
      </c>
    </row>
    <row r="31" customFormat="false" ht="15" hidden="false" customHeight="true" outlineLevel="0" collapsed="false">
      <c r="B31" s="1" t="s">
        <v>502</v>
      </c>
    </row>
    <row r="33" customFormat="false" ht="15" hidden="false" customHeight="true" outlineLevel="0" collapsed="false">
      <c r="B33" s="1" t="s">
        <v>503</v>
      </c>
    </row>
    <row r="34" customFormat="false" ht="15" hidden="false" customHeight="true" outlineLevel="0" collapsed="false">
      <c r="B34" s="1" t="s">
        <v>504</v>
      </c>
    </row>
    <row r="37" customFormat="false" ht="15" hidden="false" customHeight="true" outlineLevel="0" collapsed="false">
      <c r="B37" s="1" t="s">
        <v>505</v>
      </c>
    </row>
    <row r="38" customFormat="false" ht="15" hidden="false" customHeight="true" outlineLevel="0" collapsed="false">
      <c r="B38" s="1" t="s">
        <v>506</v>
      </c>
    </row>
    <row r="39" customFormat="false" ht="15" hidden="false" customHeight="true" outlineLevel="0" collapsed="false">
      <c r="B39" s="1" t="s">
        <v>507</v>
      </c>
    </row>
    <row r="40" customFormat="false" ht="15" hidden="false" customHeight="true" outlineLevel="0" collapsed="false">
      <c r="B40" s="1" t="s">
        <v>508</v>
      </c>
    </row>
    <row r="41" customFormat="false" ht="15" hidden="false" customHeight="true" outlineLevel="0" collapsed="false">
      <c r="B41" s="1" t="s">
        <v>509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2026-02-16T04:41:13Z</dcterms:created>
  <dc:creator>openpyxl</dc:creator>
  <dc:description/>
  <dc:language>en-US</dc:language>
  <cp:lastModifiedBy/>
  <dcterms:modified xsi:type="dcterms:W3CDTF">2026-02-16T04:45:32Z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